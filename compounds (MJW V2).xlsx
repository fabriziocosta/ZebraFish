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_winter_exeter_ac_uk/Documents/Documents/PhD LSI - Goodfellow 2025/"/>
    </mc:Choice>
  </mc:AlternateContent>
  <xr:revisionPtr revIDLastSave="5" documentId="8_{853CBBBB-CF2A-460A-AC0E-A8E24B5AEA8D}" xr6:coauthVersionLast="47" xr6:coauthVersionMax="47" xr10:uidLastSave="{BAF0963B-C278-4434-B8C4-36DCB297118E}"/>
  <bookViews>
    <workbookView xWindow="-110" yWindow="-110" windowWidth="38620" windowHeight="21220" xr2:uid="{00000000-000D-0000-FFFF-FFFF00000000}"/>
  </bookViews>
  <sheets>
    <sheet name="REVISED TABLE 25 NOV 2019" sheetId="1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3" l="1"/>
  <c r="R4" i="13"/>
  <c r="R5" i="13"/>
  <c r="R8" i="13"/>
  <c r="R10" i="13"/>
  <c r="R11" i="13"/>
  <c r="R13" i="13"/>
  <c r="R16" i="13"/>
  <c r="R19" i="13"/>
  <c r="R20" i="13"/>
  <c r="R21" i="13"/>
  <c r="R22" i="13"/>
  <c r="R23" i="13"/>
  <c r="R24" i="13"/>
  <c r="R25" i="13"/>
  <c r="R26" i="13"/>
  <c r="R29" i="13"/>
  <c r="R30" i="13"/>
  <c r="R31" i="13"/>
  <c r="R32" i="13"/>
  <c r="R33" i="13"/>
  <c r="R34" i="13"/>
  <c r="R35" i="13"/>
  <c r="R36" i="13"/>
  <c r="Q37" i="13"/>
  <c r="R37" i="13"/>
  <c r="R38" i="13"/>
  <c r="Q39" i="13"/>
  <c r="R39" i="13"/>
  <c r="R40" i="13"/>
  <c r="R41" i="13"/>
  <c r="Q42" i="13"/>
  <c r="R42" i="13"/>
  <c r="R43" i="13"/>
  <c r="R44" i="13"/>
  <c r="R45" i="13"/>
  <c r="R46" i="13"/>
  <c r="R47" i="13"/>
  <c r="R48" i="13"/>
  <c r="R49" i="13"/>
  <c r="R51" i="13"/>
  <c r="R53" i="13"/>
  <c r="R54" i="13"/>
  <c r="R55" i="13"/>
  <c r="R56" i="13"/>
  <c r="R57" i="13"/>
  <c r="R59" i="13"/>
  <c r="R60" i="13"/>
  <c r="R61" i="13"/>
  <c r="R62" i="13"/>
  <c r="R63" i="13"/>
  <c r="R64" i="13"/>
  <c r="R65" i="13"/>
  <c r="R66" i="13"/>
  <c r="R67" i="13"/>
  <c r="R68" i="13"/>
</calcChain>
</file>

<file path=xl/sharedStrings.xml><?xml version="1.0" encoding="utf-8"?>
<sst xmlns="http://schemas.openxmlformats.org/spreadsheetml/2006/main" count="999" uniqueCount="447">
  <si>
    <t>Compound</t>
  </si>
  <si>
    <t>Donepezil</t>
  </si>
  <si>
    <t>B</t>
  </si>
  <si>
    <t>Clozapine</t>
  </si>
  <si>
    <t>Bicuculline</t>
  </si>
  <si>
    <t>A</t>
  </si>
  <si>
    <t>PTZ</t>
  </si>
  <si>
    <t>Picrotoxin</t>
  </si>
  <si>
    <t>Bemegride</t>
  </si>
  <si>
    <t>D</t>
  </si>
  <si>
    <t>N/A</t>
  </si>
  <si>
    <t>Gabazine</t>
  </si>
  <si>
    <t>Kainic acid</t>
  </si>
  <si>
    <t>&lt;LOQ</t>
  </si>
  <si>
    <t>NMDA</t>
  </si>
  <si>
    <t>Strychnine</t>
  </si>
  <si>
    <t>Glycine antagonist</t>
  </si>
  <si>
    <t>4-aminopyridine</t>
  </si>
  <si>
    <t>Bupropion</t>
  </si>
  <si>
    <t>Maprotiline</t>
  </si>
  <si>
    <t>Pilocarpine</t>
  </si>
  <si>
    <t>Aminophylline</t>
  </si>
  <si>
    <t>Theophylline</t>
  </si>
  <si>
    <t>SNC80</t>
  </si>
  <si>
    <t>4-Aminophenyl sulfone</t>
  </si>
  <si>
    <t>E</t>
  </si>
  <si>
    <t xml:space="preserve">Antibiotic (sulfonamide-like) </t>
  </si>
  <si>
    <t>Quinine HCl</t>
  </si>
  <si>
    <t>Alkaloid antimalarial</t>
  </si>
  <si>
    <t>Yohimbine</t>
  </si>
  <si>
    <t>Mizolastine</t>
  </si>
  <si>
    <t>Emetine</t>
  </si>
  <si>
    <t>Apomorphine</t>
  </si>
  <si>
    <t>Cisplatin</t>
  </si>
  <si>
    <t xml:space="preserve">DNA cross linking chemotherapeutic </t>
  </si>
  <si>
    <t>Morphine</t>
  </si>
  <si>
    <t>Rolipram</t>
  </si>
  <si>
    <t>884740-09-4</t>
  </si>
  <si>
    <t>5786-21-0</t>
  </si>
  <si>
    <t>40709-69-1</t>
  </si>
  <si>
    <t>54-95-5</t>
  </si>
  <si>
    <t>124-87-8</t>
  </si>
  <si>
    <t>64-65-3</t>
  </si>
  <si>
    <t>104104-50-9</t>
  </si>
  <si>
    <t xml:space="preserve">58002-62-3 </t>
  </si>
  <si>
    <t>6384-92-5</t>
  </si>
  <si>
    <t>60-41-3</t>
  </si>
  <si>
    <t>504-24-5</t>
  </si>
  <si>
    <t>31677-93-7</t>
  </si>
  <si>
    <t>10347-81-6</t>
  </si>
  <si>
    <t>54-71-7</t>
  </si>
  <si>
    <t>317-34-0</t>
  </si>
  <si>
    <t>58-55-9</t>
  </si>
  <si>
    <t>156727-74-1</t>
  </si>
  <si>
    <t>80-08-0</t>
  </si>
  <si>
    <t>4205-91-8</t>
  </si>
  <si>
    <t>Clonidine</t>
  </si>
  <si>
    <t>6119-47-7</t>
  </si>
  <si>
    <t>65-19-0</t>
  </si>
  <si>
    <t>108612-45-9</t>
  </si>
  <si>
    <t>316-42-7</t>
  </si>
  <si>
    <t>41372-20-7</t>
  </si>
  <si>
    <t>15663-27-1</t>
  </si>
  <si>
    <t>61413-54-5</t>
  </si>
  <si>
    <t xml:space="preserve">52-26-6 </t>
  </si>
  <si>
    <t>125, 62.5, 31.25μM</t>
  </si>
  <si>
    <t>30mins</t>
  </si>
  <si>
    <t>100, 50, 25μM</t>
  </si>
  <si>
    <t>20mins</t>
  </si>
  <si>
    <t>250, 125, 62.5μM</t>
  </si>
  <si>
    <t>5, 2.5, 1.25mM</t>
  </si>
  <si>
    <t>60, 30, 15μM</t>
  </si>
  <si>
    <t xml:space="preserve">1, 0.5, 0.25mM </t>
  </si>
  <si>
    <t xml:space="preserve">2, 1, 0.5mM </t>
  </si>
  <si>
    <t>200, 100, 50μM</t>
  </si>
  <si>
    <t>31.25, 15.6, 7.8μM</t>
  </si>
  <si>
    <t>1hour</t>
  </si>
  <si>
    <t>100, 75, 50, 25μM</t>
  </si>
  <si>
    <t>2hours</t>
  </si>
  <si>
    <t>24hours</t>
  </si>
  <si>
    <t xml:space="preserve">Ketamine </t>
  </si>
  <si>
    <t xml:space="preserve">Nomifensine </t>
  </si>
  <si>
    <t>1867-66-9</t>
  </si>
  <si>
    <t>32795-47-4</t>
  </si>
  <si>
    <t>65277-42-1</t>
  </si>
  <si>
    <t xml:space="preserve">85951-63-9 </t>
  </si>
  <si>
    <t xml:space="preserve">155836-50-3 </t>
  </si>
  <si>
    <t xml:space="preserve">1217628-73-3 </t>
  </si>
  <si>
    <t>Muscarine</t>
  </si>
  <si>
    <t>Bethanechol</t>
  </si>
  <si>
    <t xml:space="preserve"> 2936-25-6</t>
  </si>
  <si>
    <t>590-63-6</t>
  </si>
  <si>
    <t>Amitriptyline</t>
  </si>
  <si>
    <t>Clomipramine</t>
  </si>
  <si>
    <t>Protriptyline</t>
  </si>
  <si>
    <t>Carbachol</t>
  </si>
  <si>
    <t>Oxotremorine</t>
  </si>
  <si>
    <t>51-83-2</t>
  </si>
  <si>
    <t>Olanzapine</t>
  </si>
  <si>
    <t>Risperidone</t>
  </si>
  <si>
    <t>Chlorpromazine</t>
  </si>
  <si>
    <t>Phenothiazine antipsychotic</t>
  </si>
  <si>
    <t>132539-06-1</t>
  </si>
  <si>
    <t>106266-06-2</t>
  </si>
  <si>
    <t>69-09-0</t>
  </si>
  <si>
    <t>Theobromine</t>
  </si>
  <si>
    <t>Caffeine</t>
  </si>
  <si>
    <t>Paraxanthine</t>
  </si>
  <si>
    <t>58-08-2</t>
  </si>
  <si>
    <t>83-67-0</t>
  </si>
  <si>
    <t>611-59-6</t>
  </si>
  <si>
    <t>Domoic acid</t>
  </si>
  <si>
    <t xml:space="preserve">14277-97-5 </t>
  </si>
  <si>
    <t xml:space="preserve">477331-06-9 </t>
  </si>
  <si>
    <t xml:space="preserve">138199-51-6 </t>
  </si>
  <si>
    <t>(RS)-(Tetrazol-5-yl)glycine</t>
  </si>
  <si>
    <t>C</t>
  </si>
  <si>
    <t>Tacrine</t>
  </si>
  <si>
    <t>Phenserine</t>
  </si>
  <si>
    <t>57-64-7</t>
  </si>
  <si>
    <t>1684-40-8</t>
  </si>
  <si>
    <t xml:space="preserve">217-780-5 </t>
  </si>
  <si>
    <t xml:space="preserve">101246-66-6 </t>
  </si>
  <si>
    <t xml:space="preserve">122955-13-9 </t>
  </si>
  <si>
    <t>Cocaine</t>
  </si>
  <si>
    <t>Amphetamine</t>
  </si>
  <si>
    <t>Meperidine</t>
  </si>
  <si>
    <t>53-21-4</t>
  </si>
  <si>
    <t>50-13-5</t>
  </si>
  <si>
    <t>Amoxapine</t>
  </si>
  <si>
    <t>14028-44-5</t>
  </si>
  <si>
    <t>549-18-8</t>
  </si>
  <si>
    <t>17321-77-6</t>
  </si>
  <si>
    <t>Desipiramine</t>
  </si>
  <si>
    <t>58-28-6</t>
  </si>
  <si>
    <t>1225-55-4</t>
  </si>
  <si>
    <t>Atypical antipsychotics</t>
  </si>
  <si>
    <t>Illicit drugs</t>
  </si>
  <si>
    <t>Glutamate agonists</t>
  </si>
  <si>
    <t>ACh esterase inhibitors</t>
  </si>
  <si>
    <t>Class</t>
  </si>
  <si>
    <t>Pentylenetetrazole</t>
  </si>
  <si>
    <t>Ketoconazole</t>
  </si>
  <si>
    <t>Duration</t>
  </si>
  <si>
    <t xml:space="preserve">Physostigmine </t>
  </si>
  <si>
    <t>Tetraethylammonium Cl</t>
  </si>
  <si>
    <t>1 hour</t>
  </si>
  <si>
    <t>62.5, 31.25, 15.6μM</t>
  </si>
  <si>
    <t>500, 250, 125μM</t>
  </si>
  <si>
    <t>300, 150, 75μM</t>
  </si>
  <si>
    <t>15.6, 7.8, 3.9μM</t>
  </si>
  <si>
    <t>2, 1, 0.5mM</t>
  </si>
  <si>
    <t>Ethanol</t>
  </si>
  <si>
    <t>64-17-5</t>
  </si>
  <si>
    <t>1215833-62-7</t>
  </si>
  <si>
    <t>XE991</t>
  </si>
  <si>
    <t xml:space="preserve">Fentanyl </t>
  </si>
  <si>
    <t>TEA</t>
  </si>
  <si>
    <t xml:space="preserve">Neostigmine </t>
  </si>
  <si>
    <t xml:space="preserve">Galantamine </t>
  </si>
  <si>
    <t>Analeptics</t>
  </si>
  <si>
    <t>Reversible AChE inhibition</t>
  </si>
  <si>
    <t>RST</t>
  </si>
  <si>
    <t>mAChR and nAChR agonism</t>
  </si>
  <si>
    <t xml:space="preserve">Opioid analgesics </t>
  </si>
  <si>
    <t>μ-opioidR agonism</t>
  </si>
  <si>
    <t>δ-opioidR agonism</t>
  </si>
  <si>
    <t>Reversible AChE inhibition (no BBB penetration)</t>
  </si>
  <si>
    <t>KAR activation</t>
  </si>
  <si>
    <t>Non-selective Kv blockade</t>
  </si>
  <si>
    <t>K+ channel blockers</t>
  </si>
  <si>
    <t>Tricyclic antidepressants</t>
  </si>
  <si>
    <t>Muscarinic agonists</t>
  </si>
  <si>
    <r>
      <t>GABA</t>
    </r>
    <r>
      <rPr>
        <vertAlign val="subscript"/>
        <sz val="11"/>
        <color theme="1"/>
        <rFont val="Helvetica"/>
        <family val="2"/>
      </rPr>
      <t>A</t>
    </r>
    <r>
      <rPr>
        <sz val="11"/>
        <color theme="1"/>
        <rFont val="Helvetica"/>
        <family val="2"/>
      </rPr>
      <t>R antagonism</t>
    </r>
  </si>
  <si>
    <t>GlyR antagonism</t>
  </si>
  <si>
    <t>20 mins</t>
  </si>
  <si>
    <t>NDRI Antidepressant</t>
  </si>
  <si>
    <t>Tetracyclic Antidepressant</t>
  </si>
  <si>
    <t>30 mins</t>
  </si>
  <si>
    <t>Phenyclidine</t>
  </si>
  <si>
    <t>51-63-8</t>
  </si>
  <si>
    <t>656-90-1</t>
  </si>
  <si>
    <t>NMDAR antagonism</t>
  </si>
  <si>
    <t>Alkaloid antiprotozoal</t>
  </si>
  <si>
    <t>μ-opioid R agonism</t>
  </si>
  <si>
    <t>PDE-4 inhibition</t>
  </si>
  <si>
    <t>NA/DA reuptake inhibition</t>
  </si>
  <si>
    <t>NMDAR activation</t>
  </si>
  <si>
    <r>
      <t>DA/NA/5-HT reuptake inhibiton and Na</t>
    </r>
    <r>
      <rPr>
        <vertAlign val="superscript"/>
        <sz val="11"/>
        <color theme="1"/>
        <rFont val="Helvetica"/>
        <family val="2"/>
      </rPr>
      <t>2+</t>
    </r>
    <r>
      <rPr>
        <sz val="11"/>
        <color theme="1"/>
        <rFont val="Helvetica"/>
        <family val="2"/>
      </rPr>
      <t xml:space="preserve"> channel blockade</t>
    </r>
  </si>
  <si>
    <t>DA/NA/5-HT reuptake inhibiton</t>
  </si>
  <si>
    <t>P1 antagonism and PDE inhibition</t>
  </si>
  <si>
    <t xml:space="preserve">NMDAR antagonism </t>
  </si>
  <si>
    <t>mAChR agonism (non selective)</t>
  </si>
  <si>
    <t xml:space="preserve">M1 selective mACHR agonist </t>
  </si>
  <si>
    <t>1859081-58-5</t>
  </si>
  <si>
    <t>17360-35-9</t>
  </si>
  <si>
    <t xml:space="preserve">500, 250, 125mM </t>
  </si>
  <si>
    <t>250μM</t>
  </si>
  <si>
    <t>6μM</t>
  </si>
  <si>
    <t>30μM</t>
  </si>
  <si>
    <t>40μM</t>
  </si>
  <si>
    <t>Methylxanthine derivatives</t>
  </si>
  <si>
    <t>Abbreviation</t>
  </si>
  <si>
    <t>DONE</t>
  </si>
  <si>
    <t>PHYS</t>
  </si>
  <si>
    <t>TACR</t>
  </si>
  <si>
    <t>GALA</t>
  </si>
  <si>
    <t>PHEN</t>
  </si>
  <si>
    <t>NEO</t>
  </si>
  <si>
    <t>CPZ</t>
  </si>
  <si>
    <t>CLOZ</t>
  </si>
  <si>
    <t>OLAN</t>
  </si>
  <si>
    <t>RISP</t>
  </si>
  <si>
    <t>BICC</t>
  </si>
  <si>
    <t>PICR</t>
  </si>
  <si>
    <t>BEM</t>
  </si>
  <si>
    <t>GABA</t>
  </si>
  <si>
    <t>DMCM</t>
  </si>
  <si>
    <t>methyl-6,7-dimethoxy-4-ethyl-beta-carboline-3-carboxylate</t>
  </si>
  <si>
    <t>KAIN</t>
  </si>
  <si>
    <t>DOMO</t>
  </si>
  <si>
    <t xml:space="preserve">N-methyl-D-aspartate </t>
  </si>
  <si>
    <t>CisA</t>
  </si>
  <si>
    <t>STRY</t>
  </si>
  <si>
    <t>4AP</t>
  </si>
  <si>
    <t xml:space="preserve">(±)-1-Aminocyclopentane-cis-1,3-dicarboxylic acid </t>
  </si>
  <si>
    <t>BUPR</t>
  </si>
  <si>
    <t>MAPR</t>
  </si>
  <si>
    <t>AMOX</t>
  </si>
  <si>
    <t>AMIT</t>
  </si>
  <si>
    <t>CLOM</t>
  </si>
  <si>
    <t>DESI</t>
  </si>
  <si>
    <t>PROT</t>
  </si>
  <si>
    <t>PILO</t>
  </si>
  <si>
    <t>MUSC</t>
  </si>
  <si>
    <t>BETH</t>
  </si>
  <si>
    <t>PF67</t>
  </si>
  <si>
    <t>CARB</t>
  </si>
  <si>
    <t>OXO</t>
  </si>
  <si>
    <t>AMIN</t>
  </si>
  <si>
    <t>THEO</t>
  </si>
  <si>
    <t>CAFF</t>
  </si>
  <si>
    <t>THBR</t>
  </si>
  <si>
    <t>PARA</t>
  </si>
  <si>
    <t xml:space="preserve"> (+)-4-[(αR)-α-((2S,5R)-4-Allyl-2,5-dimethyl-1-piperazinyl)-3-methoxybenzyl]-N,N-diethylbenzamide </t>
  </si>
  <si>
    <t>FENT</t>
  </si>
  <si>
    <t>MEP</t>
  </si>
  <si>
    <t>SB20</t>
  </si>
  <si>
    <t>BW373</t>
  </si>
  <si>
    <t>COCA</t>
  </si>
  <si>
    <t>AMPH</t>
  </si>
  <si>
    <t>PCP</t>
  </si>
  <si>
    <t>4AMS</t>
  </si>
  <si>
    <t>CLON</t>
  </si>
  <si>
    <t>QUIN</t>
  </si>
  <si>
    <t>YOHI</t>
  </si>
  <si>
    <t>MIZO</t>
  </si>
  <si>
    <t>EMET</t>
  </si>
  <si>
    <t>APOM</t>
  </si>
  <si>
    <t>CISP</t>
  </si>
  <si>
    <t>MORP</t>
  </si>
  <si>
    <t>ROLI</t>
  </si>
  <si>
    <t>KETA</t>
  </si>
  <si>
    <t>NOMI</t>
  </si>
  <si>
    <t>KETO</t>
  </si>
  <si>
    <t>EtOH</t>
  </si>
  <si>
    <t>DMCM*</t>
  </si>
  <si>
    <t>*DMCM</t>
  </si>
  <si>
    <t>**Cis-ACPD</t>
  </si>
  <si>
    <t>(R*,S*)-(±)-2-Methyl-4aa-(3-hydroxyphenyl)-1,2,3,4,4a,5,12,12aa-octahydroquinolino[2,3,3-g]isoquinoline dihydrobromide</t>
  </si>
  <si>
    <t>4-[(αR*)-α-((2S*,5R*)-4-Allyl-2,5-dimethyl-1-piperazinyl)-3-hydroxybenzyl]-N,N-diethylbenzamide</t>
  </si>
  <si>
    <t>Cis-ACPD**</t>
  </si>
  <si>
    <t xml:space="preserve"> 1,5-Anhydro-2,3-dideoxy-3-[[[5-methyl-4-[[4-(4-thiazolyl)phenyl]methyl]-2-pyridinyl]carbonyl]amino]-L-threo-pentitol, N-((3R,4S)-3-Hydroxytetrahydro-2H-pyran-4-yl)-5-methyl-4-[4-(1,3-thiazol-4-yl)benzyl]</t>
  </si>
  <si>
    <t>-pyridine-2-carboxamide</t>
  </si>
  <si>
    <t>XE991***</t>
  </si>
  <si>
    <t>***XE991</t>
  </si>
  <si>
    <t xml:space="preserve">PF06767832**** </t>
  </si>
  <si>
    <t>SNC80*****</t>
  </si>
  <si>
    <t>SB205607******</t>
  </si>
  <si>
    <t>BW373U86*******</t>
  </si>
  <si>
    <t>****PF06767832</t>
  </si>
  <si>
    <t>*****SNC80</t>
  </si>
  <si>
    <t xml:space="preserve">*******BW373U86 </t>
  </si>
  <si>
    <t xml:space="preserve">10,10-bis(4-Pyridinylmethyl)-9(10H)-anthracenone dihydrochloride </t>
  </si>
  <si>
    <t>Cytochrome P450 inhibitor</t>
  </si>
  <si>
    <t>F</t>
  </si>
  <si>
    <t xml:space="preserve">******SB205607 or TAN-67 </t>
  </si>
  <si>
    <t xml:space="preserve"> 114-80-7</t>
  </si>
  <si>
    <t>μ-δ-opioidR activation</t>
  </si>
  <si>
    <t xml:space="preserve">62.5, 31.25, 15.6μM </t>
  </si>
  <si>
    <t xml:space="preserve"> 56-34-8</t>
  </si>
  <si>
    <r>
      <t>GABA</t>
    </r>
    <r>
      <rPr>
        <vertAlign val="subscript"/>
        <sz val="11"/>
        <color theme="1"/>
        <rFont val="Helvetica"/>
        <family val="2"/>
      </rPr>
      <t>A</t>
    </r>
    <r>
      <rPr>
        <sz val="11"/>
        <color theme="1"/>
        <rFont val="Helvetica"/>
        <family val="2"/>
      </rPr>
      <t>R negative allosteric modulation</t>
    </r>
  </si>
  <si>
    <t xml:space="preserve">Mixed classes, unclear link to seizures </t>
  </si>
  <si>
    <t xml:space="preserve">Mixed classes, no known link to seizures  </t>
  </si>
  <si>
    <t xml:space="preserve">B - Clear association with seizures in clinic, and in non clincal studies </t>
  </si>
  <si>
    <t xml:space="preserve">C - Measurable association with seizures in clinic and/or some non clincial data linking to seizures </t>
  </si>
  <si>
    <t>E - Mechanistic link only, no published confirmatory data</t>
  </si>
  <si>
    <t>F - No known link to seizures (seizure negative)</t>
  </si>
  <si>
    <t>A - Strong link ~ tool compounds/precipitants</t>
  </si>
  <si>
    <t xml:space="preserve">D - Limited clinical/non clinical data, but weak or conflicting and/or pro-seizurogenic only under specific circumstances such as overdose or withdrawal </t>
  </si>
  <si>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Helvetica"/>
        <family val="2"/>
      </rPr>
      <t>2</t>
    </r>
    <r>
      <rPr>
        <sz val="11"/>
        <color theme="1"/>
        <rFont val="Helvetica"/>
        <family val="2"/>
      </rPr>
      <t>R agonism (in CNS)</t>
    </r>
  </si>
  <si>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Helvetica"/>
        <family val="2"/>
      </rPr>
      <t>2</t>
    </r>
    <r>
      <rPr>
        <sz val="11"/>
        <color theme="1"/>
        <rFont val="Helvetica"/>
        <family val="2"/>
      </rPr>
      <t xml:space="preserve">R antagonism </t>
    </r>
  </si>
  <si>
    <r>
      <t>GABA</t>
    </r>
    <r>
      <rPr>
        <vertAlign val="subscript"/>
        <sz val="11"/>
        <color theme="1"/>
        <rFont val="Helvetica"/>
        <family val="2"/>
      </rPr>
      <t>A</t>
    </r>
    <r>
      <rPr>
        <sz val="11"/>
        <color theme="1"/>
        <rFont val="Helvetica"/>
        <family val="2"/>
      </rPr>
      <t>R positIve allosteric modulation</t>
    </r>
  </si>
  <si>
    <r>
      <t>H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 antagonism</t>
    </r>
  </si>
  <si>
    <r>
      <t>D</t>
    </r>
    <r>
      <rPr>
        <vertAlign val="subscript"/>
        <sz val="11"/>
        <color theme="1"/>
        <rFont val="Helvetica"/>
        <family val="2"/>
      </rPr>
      <t>1/2</t>
    </r>
    <r>
      <rPr>
        <sz val="11"/>
        <color theme="1"/>
        <rFont val="Helvetica"/>
        <family val="2"/>
      </rPr>
      <t>R/5-HT/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Helvetica"/>
        <family val="2"/>
      </rPr>
      <t>R agonism</t>
    </r>
  </si>
  <si>
    <r>
      <t>D</t>
    </r>
    <r>
      <rPr>
        <vertAlign val="subscript"/>
        <sz val="11"/>
        <color theme="1"/>
        <rFont val="Helvetica"/>
        <family val="2"/>
      </rPr>
      <t>1/2/3/4</t>
    </r>
    <r>
      <rPr>
        <sz val="11"/>
        <color theme="1"/>
        <rFont val="Helvetica"/>
        <family val="2"/>
      </rPr>
      <t>R/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Helvetica"/>
        <family val="2"/>
      </rPr>
      <t>1/2</t>
    </r>
    <r>
      <rPr>
        <sz val="11"/>
        <color theme="1"/>
        <rFont val="Helvetica"/>
        <family val="2"/>
      </rPr>
      <t>R/H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R/mACh</t>
    </r>
    <r>
      <rPr>
        <vertAlign val="subscript"/>
        <sz val="11"/>
        <color theme="1"/>
        <rFont val="Helvetica"/>
        <family val="2"/>
      </rPr>
      <t>1/2</t>
    </r>
    <r>
      <rPr>
        <sz val="11"/>
        <color theme="1"/>
        <rFont val="Helvetica"/>
        <family val="2"/>
      </rPr>
      <t>R/5-HT</t>
    </r>
    <r>
      <rPr>
        <vertAlign val="subscript"/>
        <sz val="11"/>
        <color theme="1"/>
        <rFont val="Helvetica"/>
        <family val="2"/>
      </rPr>
      <t>1/2</t>
    </r>
    <r>
      <rPr>
        <sz val="11"/>
        <color theme="1"/>
        <rFont val="Helvetica"/>
        <family val="2"/>
      </rPr>
      <t>R antagonism</t>
    </r>
  </si>
  <si>
    <r>
      <t>D</t>
    </r>
    <r>
      <rPr>
        <vertAlign val="subscript"/>
        <sz val="11"/>
        <color theme="1"/>
        <rFont val="Helvetica"/>
        <family val="2"/>
      </rPr>
      <t>1/2</t>
    </r>
    <r>
      <rPr>
        <sz val="11"/>
        <color theme="1"/>
        <rFont val="Helvetica"/>
        <family val="2"/>
      </rPr>
      <t>R/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Helvetica"/>
        <family val="2"/>
      </rPr>
      <t>1/2</t>
    </r>
    <r>
      <rPr>
        <sz val="11"/>
        <color theme="1"/>
        <rFont val="Helvetica"/>
        <family val="2"/>
      </rPr>
      <t>R/H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R/mAChR/5-HT</t>
    </r>
    <r>
      <rPr>
        <vertAlign val="subscript"/>
        <sz val="11"/>
        <color theme="1"/>
        <rFont val="Helvetica"/>
        <family val="2"/>
      </rPr>
      <t>2</t>
    </r>
    <r>
      <rPr>
        <sz val="11"/>
        <color theme="1"/>
        <rFont val="Helvetica"/>
        <family val="2"/>
      </rPr>
      <t>R antagonism</t>
    </r>
  </si>
  <si>
    <r>
      <t>D</t>
    </r>
    <r>
      <rPr>
        <vertAlign val="subscript"/>
        <sz val="11"/>
        <color theme="1"/>
        <rFont val="Helvetica"/>
        <family val="2"/>
      </rPr>
      <t>2</t>
    </r>
    <r>
      <rPr>
        <sz val="11"/>
        <color theme="1"/>
        <rFont val="Helvetica"/>
        <family val="2"/>
      </rPr>
      <t>R/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R/H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R/mAChR/5-HT</t>
    </r>
    <r>
      <rPr>
        <vertAlign val="subscript"/>
        <sz val="11"/>
        <color theme="1"/>
        <rFont val="Helvetica"/>
        <family val="2"/>
      </rPr>
      <t>2</t>
    </r>
    <r>
      <rPr>
        <sz val="11"/>
        <color theme="1"/>
        <rFont val="Helvetica"/>
        <family val="2"/>
      </rPr>
      <t>R antagonism</t>
    </r>
  </si>
  <si>
    <r>
      <t>D</t>
    </r>
    <r>
      <rPr>
        <vertAlign val="subscript"/>
        <sz val="11"/>
        <color theme="1"/>
        <rFont val="Helvetica"/>
        <family val="2"/>
      </rPr>
      <t>2</t>
    </r>
    <r>
      <rPr>
        <sz val="11"/>
        <color theme="1"/>
        <rFont val="Helvetica"/>
        <family val="2"/>
      </rPr>
      <t>R/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Helvetica"/>
        <family val="2"/>
      </rPr>
      <t>1/2</t>
    </r>
    <r>
      <rPr>
        <sz val="11"/>
        <color theme="1"/>
        <rFont val="Helvetica"/>
        <family val="2"/>
      </rPr>
      <t>R/H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R/mAChR/5-HT</t>
    </r>
    <r>
      <rPr>
        <vertAlign val="subscript"/>
        <sz val="11"/>
        <color theme="1"/>
        <rFont val="Helvetica"/>
        <family val="2"/>
      </rPr>
      <t>2</t>
    </r>
    <r>
      <rPr>
        <sz val="11"/>
        <color theme="1"/>
        <rFont val="Helvetica"/>
        <family val="2"/>
      </rPr>
      <t>R antagonism</t>
    </r>
  </si>
  <si>
    <r>
      <t>NA/5-HT reuptake inhibitor,5-HT</t>
    </r>
    <r>
      <rPr>
        <vertAlign val="subscript"/>
        <sz val="11"/>
        <color theme="1"/>
        <rFont val="Helvetica"/>
        <family val="2"/>
      </rPr>
      <t>2</t>
    </r>
    <r>
      <rPr>
        <sz val="11"/>
        <color theme="1"/>
        <rFont val="Helvetica"/>
        <family val="2"/>
      </rPr>
      <t>R/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R/DAR/H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R/mAChR antagonism</t>
    </r>
  </si>
  <si>
    <r>
      <t xml:space="preserve">NA/5-HT reuptake inhibitor,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R/H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R/mAChR antagonism</t>
    </r>
  </si>
  <si>
    <r>
      <t>NA/5-HT reuptake inhibitor,5-HTR/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R/DAR/H</t>
    </r>
    <r>
      <rPr>
        <vertAlign val="subscript"/>
        <sz val="11"/>
        <color theme="1"/>
        <rFont val="Helvetica"/>
        <family val="2"/>
      </rPr>
      <t>1/2</t>
    </r>
    <r>
      <rPr>
        <sz val="11"/>
        <color theme="1"/>
        <rFont val="Helvetica"/>
        <family val="2"/>
      </rPr>
      <t>R/mAChR antagonism</t>
    </r>
  </si>
  <si>
    <r>
      <t>NA/5-HT reuptake inhibitor,5-HTR/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R/H</t>
    </r>
    <r>
      <rPr>
        <vertAlign val="subscript"/>
        <sz val="11"/>
        <color theme="1"/>
        <rFont val="Helvetica"/>
        <family val="2"/>
      </rPr>
      <t>1/2</t>
    </r>
    <r>
      <rPr>
        <sz val="11"/>
        <color theme="1"/>
        <rFont val="Helvetica"/>
        <family val="2"/>
      </rPr>
      <t>R/mAChR antagonism</t>
    </r>
  </si>
  <si>
    <r>
      <t>NA/5-HT reuptake inhibitor,DAR/5-HTR/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Helvetica"/>
        <family val="2"/>
      </rPr>
      <t>1/2</t>
    </r>
    <r>
      <rPr>
        <sz val="11"/>
        <color theme="1"/>
        <rFont val="Helvetica"/>
        <family val="2"/>
      </rPr>
      <t>R/H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 antagonism</t>
    </r>
  </si>
  <si>
    <r>
      <t xml:space="preserve">NA reuptake inhibitor (weak 5-HT), mAChR,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Helvetica"/>
        <family val="2"/>
      </rPr>
      <t>1/2</t>
    </r>
    <r>
      <rPr>
        <sz val="11"/>
        <color theme="1"/>
        <rFont val="Helvetica"/>
        <family val="2"/>
      </rPr>
      <t>R/H</t>
    </r>
    <r>
      <rPr>
        <vertAlign val="subscript"/>
        <sz val="11"/>
        <color theme="1"/>
        <rFont val="Helvetica"/>
        <family val="2"/>
      </rPr>
      <t>1</t>
    </r>
    <r>
      <rPr>
        <sz val="11"/>
        <color theme="1"/>
        <rFont val="Helvetica"/>
        <family val="2"/>
      </rPr>
      <t>R antagonism</t>
    </r>
  </si>
  <si>
    <r>
      <t>Kv</t>
    </r>
    <r>
      <rPr>
        <vertAlign val="subscript"/>
        <sz val="11"/>
        <color theme="1"/>
        <rFont val="Helvetica"/>
        <family val="2"/>
      </rPr>
      <t>7</t>
    </r>
    <r>
      <rPr>
        <sz val="11"/>
        <color theme="1"/>
        <rFont val="Helvetica"/>
        <family val="2"/>
      </rPr>
      <t xml:space="preserve"> (KCNQ) channel blockade</t>
    </r>
  </si>
  <si>
    <t>1.5, 0.75, 0.375% v/v</t>
  </si>
  <si>
    <t>Fentanyl Isothiocyanate</t>
  </si>
  <si>
    <t>144μM</t>
  </si>
  <si>
    <t>5μM</t>
  </si>
  <si>
    <t>95μM</t>
  </si>
  <si>
    <t>in solution</t>
  </si>
  <si>
    <t>not in solution</t>
  </si>
  <si>
    <t>External conc. [mM]</t>
  </si>
  <si>
    <r>
      <t>External conc. [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M]</t>
    </r>
  </si>
  <si>
    <t>Internal conc. [mM]</t>
  </si>
  <si>
    <t>% upatke</t>
  </si>
  <si>
    <t xml:space="preserve">stock (10mM) </t>
  </si>
  <si>
    <t xml:space="preserve">stock (5mM) </t>
  </si>
  <si>
    <t xml:space="preserve">stock (1mM) </t>
  </si>
  <si>
    <t>1mM down, not in solution, milky susspension</t>
  </si>
  <si>
    <t>1mM down, in solution</t>
  </si>
  <si>
    <t xml:space="preserve">0.25mM down, in solution </t>
  </si>
  <si>
    <t>Thermnally unstable compound. Hydrolysis. Imposible to achieve any separation for hydrolisys/degradation products</t>
  </si>
  <si>
    <t>1mM down</t>
  </si>
  <si>
    <t>0.5mM down, in solution</t>
  </si>
  <si>
    <t>0.075 top</t>
  </si>
  <si>
    <t>0.5 mM down, not fully dissolved in top concentraion, cloudy solution</t>
  </si>
  <si>
    <t>0.028mM down, in solution</t>
  </si>
  <si>
    <t>0.250mM down, in solution</t>
  </si>
  <si>
    <t>v.poor chemistry. No retention in FA buufer , nor NH3.  Top conc. reading @LOQ indicating 0.6% uptake</t>
  </si>
  <si>
    <t>0.5 mM down, not fully dissolved in top 2 concentraions</t>
  </si>
  <si>
    <t xml:space="preserve">from 120mM stock in water, run on seizure at 5mM down, in solution </t>
  </si>
  <si>
    <t>0.5mM down, visible parcipitation  in top 2 conentrations</t>
  </si>
  <si>
    <t>1mM down, visible parcipitation mainly in top 2 conentrations</t>
  </si>
  <si>
    <t>0.1mM down, not in solution but with light homog fine suspension</t>
  </si>
  <si>
    <t>Precipitation visible under the microscope in all 3 concs</t>
  </si>
  <si>
    <t>0.5mM down, visible parcipitation  in top 4 conentrations,visible  effect on animals in top 2: bent tails and lost of balance, shaking fish, darken then lower concentrations in top wells</t>
  </si>
  <si>
    <t>soluble, run 1mM down (in solution, but affected top concentrations, not much response in animals at top, and some on side and not moving much) therefore re-run at 0.25mM down (compound in solution)</t>
  </si>
  <si>
    <t>Precipitation observed above 31.5 uM</t>
  </si>
  <si>
    <t>0.5mM down, visible parcipitation  in top 3 conentrations</t>
  </si>
  <si>
    <t>soluble, run at 1mM down (in solution), affected animals at top 2 concentrations, slow hear bit, not much response, but still alive. Animals at lowe concentrations twiching or on side, re run at 0.0625mM down</t>
  </si>
  <si>
    <t>0.5mM down</t>
  </si>
  <si>
    <t>1mM down,affected animals at top 3 concentrations (bent tials, no movement, slow heart bit) , visible parcipitation in 4 concentraions, exposure repeated at 0.125mMdown</t>
  </si>
  <si>
    <t>0.056mM down, in solution</t>
  </si>
  <si>
    <t xml:space="preserve">soluble, run 1st time as 1mM down (in solution, had effect on animals, not moving and much response at ttop conecntrations) therefore re run at 0.1mM down. </t>
  </si>
  <si>
    <t>0.03125 mM down, in solution</t>
  </si>
  <si>
    <t>62.5 μM down, not in solution</t>
  </si>
  <si>
    <t>in solution, run first at 1mM down but toxic at top concentrations, therfore repeated at 31.25μM down</t>
  </si>
  <si>
    <t>in solution, run first at 1mM down but toxic at top concentrations, therfore repeated at 0.0156 mM down</t>
  </si>
  <si>
    <t>in solution, 1mM down had effect on animals, therefore re run at 0.15mM down</t>
  </si>
  <si>
    <t>1 mM down,  dissolved , effect on annimals in 2 top concentraions, not much movement/response to sicker, therfore tun again 0.25mM down</t>
  </si>
  <si>
    <t xml:space="preserve">1mM down, bit milky solution, came out of soultion in 2 top concenctations, affected animals (dead) at top conc, therfore run again 0.125mM down. </t>
  </si>
  <si>
    <t>1mM, not soluble at this concentration also toxic, therfore run at 0.125mM down and soluble at this concentration</t>
  </si>
  <si>
    <t xml:space="preserve">1 mM down,  came out of solution in top concenctration. </t>
  </si>
  <si>
    <t xml:space="preserve">0.5mM down, percipitation visible in top and lower concentrations. </t>
  </si>
  <si>
    <t>1mM down, soluble</t>
  </si>
  <si>
    <t xml:space="preserve">V. poor separation. </t>
  </si>
  <si>
    <t>1 mM down</t>
  </si>
  <si>
    <t>V. poor separation</t>
  </si>
  <si>
    <t>0.25 mM down, in solution</t>
  </si>
  <si>
    <t>1 mM down, not much movment in top 2/3 concentrations , fish on side</t>
  </si>
  <si>
    <t>0.060mM down, in solution</t>
  </si>
  <si>
    <t>1.5% intop  well,down 1:1</t>
  </si>
  <si>
    <t xml:space="preserve">0.15 mM down, solubility issues at higher concentrations, in solution at lower </t>
  </si>
  <si>
    <t>in solution, 1mM down had effect on animals (all alive but not much response in first few top concentrations), therefore re run at 0.0625mM down</t>
  </si>
  <si>
    <t xml:space="preserve">1mM dwon, in solution </t>
  </si>
  <si>
    <t>couldn’t find saizure data on this</t>
  </si>
  <si>
    <t xml:space="preserve">1mM down, dissolved </t>
  </si>
  <si>
    <t>solubility issues, thereofre run 0.1mM down</t>
  </si>
  <si>
    <t>0.125mM down, solubility issues, very cloudy</t>
  </si>
  <si>
    <t>5mM</t>
  </si>
  <si>
    <t>60μM</t>
  </si>
  <si>
    <t>1mM</t>
  </si>
  <si>
    <t>500μM</t>
  </si>
  <si>
    <t>14μM</t>
  </si>
  <si>
    <t>2mM</t>
  </si>
  <si>
    <t>125μM</t>
  </si>
  <si>
    <t>62.5μM</t>
  </si>
  <si>
    <t>11μM</t>
  </si>
  <si>
    <t>75μM</t>
  </si>
  <si>
    <t>12μM</t>
  </si>
  <si>
    <t>150μM</t>
  </si>
  <si>
    <t>100μM</t>
  </si>
  <si>
    <t>460μM</t>
  </si>
  <si>
    <t>130μM</t>
  </si>
  <si>
    <t>406μM</t>
  </si>
  <si>
    <t>56μM</t>
  </si>
  <si>
    <t>35μM</t>
  </si>
  <si>
    <t>247μM</t>
  </si>
  <si>
    <t>28μM</t>
  </si>
  <si>
    <t>382μM</t>
  </si>
  <si>
    <t>50μM</t>
  </si>
  <si>
    <t>345μM</t>
  </si>
  <si>
    <t>352μM</t>
  </si>
  <si>
    <t>900μM</t>
  </si>
  <si>
    <t>18μM</t>
  </si>
  <si>
    <t>152μM</t>
  </si>
  <si>
    <t>2μM</t>
  </si>
  <si>
    <t>191μM</t>
  </si>
  <si>
    <t>377μM</t>
  </si>
  <si>
    <t>25μM</t>
  </si>
  <si>
    <t>27μM</t>
  </si>
  <si>
    <t>104μM</t>
  </si>
  <si>
    <t>365μM</t>
  </si>
  <si>
    <t>194μM</t>
  </si>
  <si>
    <t>86μM</t>
  </si>
  <si>
    <t>445μM</t>
  </si>
  <si>
    <t>179μM</t>
  </si>
  <si>
    <t>88μM</t>
  </si>
  <si>
    <t>195μM</t>
  </si>
  <si>
    <t>407μM</t>
  </si>
  <si>
    <t>53μM</t>
  </si>
  <si>
    <t>486μM</t>
  </si>
  <si>
    <t>183μM</t>
  </si>
  <si>
    <t>165μM</t>
  </si>
  <si>
    <t>36μM</t>
  </si>
  <si>
    <t>158μM</t>
  </si>
  <si>
    <t>264μM</t>
  </si>
  <si>
    <t>163μM</t>
  </si>
  <si>
    <t>224μM</t>
  </si>
  <si>
    <t>231μM</t>
  </si>
  <si>
    <t>611μM</t>
  </si>
  <si>
    <t>31.25μM</t>
  </si>
  <si>
    <t>15.6μM</t>
  </si>
  <si>
    <t>2 hours</t>
  </si>
  <si>
    <t>Primary mechanism of Action</t>
  </si>
  <si>
    <t>Light sheet exposure conditions</t>
  </si>
  <si>
    <t>% uptake</t>
  </si>
  <si>
    <t>Internal conc</t>
  </si>
  <si>
    <t>External conc.</t>
  </si>
  <si>
    <t xml:space="preserve">Bioanalysis of compound uptake </t>
  </si>
  <si>
    <t>4μM</t>
  </si>
  <si>
    <t>8μM</t>
  </si>
  <si>
    <t xml:space="preserve">Categorized strength of link to seizures in mammals </t>
  </si>
  <si>
    <t>Strength of link to seziures in mammals (categories)</t>
  </si>
  <si>
    <t>Chemical Abstracts Service     (CAS)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</si>
</sst>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Helvetica"/>
      <family val="2"/>
    </font>
    <font>
      <sz val="11"/>
      <color theme="1"/>
      <name val="Helvetica"/>
      <family val="2"/>
    </font>
    <font>
      <vertAlign val="subscript"/>
      <sz val="11"/>
      <color theme="1"/>
      <name val="Helvetica"/>
      <family val="2"/>
    </font>
    <font>
      <vertAlign val="superscript"/>
      <sz val="11"/>
      <color theme="1"/>
      <name val="Helvetica"/>
      <family val="2"/>
    </font>
    <font>
      <b/>
      <sz val="10"/>
      <color theme="1"/>
      <name val="Helvetica"/>
      <family val="2"/>
    </font>
    <font>
      <sz val="10"/>
      <color theme="1"/>
      <name val="Helvetica"/>
      <family val="2"/>
    </font>
    <font>
      <b/>
      <i/>
      <sz val="14"/>
      <color theme="1"/>
      <name val="Helvetica"/>
      <family val="2"/>
    </font>
    <font>
      <sz val="11"/>
      <color theme="1"/>
      <name val="Symbol"/>
      <family val="1"/>
      <charset val="2"/>
    </font>
    <font>
      <sz val="8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2"/>
      <color theme="0"/>
      <name val="Helvetic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theme="0"/>
      </right>
      <top style="double">
        <color auto="1"/>
      </top>
      <bottom style="double">
        <color theme="0"/>
      </bottom>
      <diagonal/>
    </border>
    <border>
      <left style="thin">
        <color theme="0"/>
      </left>
      <right style="thin">
        <color theme="0"/>
      </right>
      <top style="double">
        <color auto="1"/>
      </top>
      <bottom style="double">
        <color theme="0"/>
      </bottom>
      <diagonal/>
    </border>
    <border>
      <left style="double">
        <color auto="1"/>
      </left>
      <right style="thin">
        <color theme="0"/>
      </right>
      <top style="double">
        <color theme="0"/>
      </top>
      <bottom style="double">
        <color theme="0"/>
      </bottom>
      <diagonal/>
    </border>
    <border>
      <left style="thin">
        <color theme="0"/>
      </left>
      <right style="thin">
        <color theme="0"/>
      </right>
      <top style="double">
        <color theme="0"/>
      </top>
      <bottom style="double">
        <color theme="0"/>
      </bottom>
      <diagonal/>
    </border>
    <border>
      <left style="double">
        <color auto="1"/>
      </left>
      <right style="thin">
        <color theme="0"/>
      </right>
      <top style="double">
        <color theme="0"/>
      </top>
      <bottom style="double">
        <color auto="1"/>
      </bottom>
      <diagonal/>
    </border>
    <border>
      <left style="thin">
        <color theme="0"/>
      </left>
      <right style="thin">
        <color theme="0"/>
      </right>
      <top style="double">
        <color theme="0"/>
      </top>
      <bottom style="double">
        <color auto="1"/>
      </bottom>
      <diagonal/>
    </border>
    <border>
      <left style="thin">
        <color theme="0"/>
      </left>
      <right style="thin">
        <color theme="0"/>
      </right>
      <top style="double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 style="double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auto="1"/>
      </bottom>
      <diagonal/>
    </border>
    <border>
      <left style="thin">
        <color theme="0"/>
      </left>
      <right/>
      <top style="double">
        <color auto="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double">
        <color auto="1"/>
      </right>
      <top/>
      <bottom style="thin">
        <color theme="0"/>
      </bottom>
      <diagonal/>
    </border>
  </borders>
  <cellStyleXfs count="2">
    <xf numFmtId="0" fontId="0" fillId="0" borderId="0"/>
    <xf numFmtId="0" fontId="13" fillId="0" borderId="0"/>
  </cellStyleXfs>
  <cellXfs count="185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3" xfId="0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1" fontId="6" fillId="2" borderId="16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29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2" borderId="2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6" fillId="2" borderId="2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5" fillId="9" borderId="24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22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6" fillId="0" borderId="15" xfId="0" applyFont="1" applyBorder="1" applyAlignment="1">
      <alignment horizontal="center" vertical="center" wrapText="1"/>
    </xf>
    <xf numFmtId="1" fontId="6" fillId="0" borderId="16" xfId="0" applyNumberFormat="1" applyFont="1" applyBorder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0" fontId="0" fillId="0" borderId="1" xfId="0" applyBorder="1"/>
    <xf numFmtId="167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167" fontId="0" fillId="0" borderId="38" xfId="0" applyNumberFormat="1" applyBorder="1" applyAlignment="1">
      <alignment horizontal="center"/>
    </xf>
    <xf numFmtId="167" fontId="0" fillId="0" borderId="39" xfId="0" applyNumberFormat="1" applyBorder="1" applyAlignment="1">
      <alignment horizontal="center"/>
    </xf>
    <xf numFmtId="167" fontId="0" fillId="0" borderId="40" xfId="0" applyNumberFormat="1" applyBorder="1"/>
    <xf numFmtId="1" fontId="0" fillId="0" borderId="39" xfId="0" applyNumberFormat="1" applyBorder="1" applyAlignment="1">
      <alignment horizontal="center"/>
    </xf>
    <xf numFmtId="165" fontId="16" fillId="0" borderId="0" xfId="0" applyNumberFormat="1" applyFont="1" applyAlignment="1">
      <alignment horizontal="center" vertical="center"/>
    </xf>
    <xf numFmtId="167" fontId="16" fillId="0" borderId="40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65" fontId="16" fillId="0" borderId="0" xfId="1" applyNumberFormat="1" applyFont="1" applyAlignment="1">
      <alignment horizontal="center" vertical="center"/>
    </xf>
    <xf numFmtId="167" fontId="16" fillId="0" borderId="40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0" fillId="0" borderId="40" xfId="0" applyNumberFormat="1" applyBorder="1" applyAlignment="1">
      <alignment horizontal="center"/>
    </xf>
    <xf numFmtId="164" fontId="16" fillId="0" borderId="0" xfId="1" applyNumberFormat="1" applyFont="1" applyAlignment="1">
      <alignment horizontal="center" vertical="center"/>
    </xf>
    <xf numFmtId="0" fontId="0" fillId="10" borderId="1" xfId="0" applyFill="1" applyBorder="1"/>
    <xf numFmtId="0" fontId="0" fillId="10" borderId="0" xfId="0" applyFill="1"/>
    <xf numFmtId="164" fontId="0" fillId="10" borderId="0" xfId="0" applyNumberFormat="1" applyFill="1" applyAlignment="1">
      <alignment horizontal="center"/>
    </xf>
    <xf numFmtId="1" fontId="0" fillId="10" borderId="39" xfId="0" applyNumberFormat="1" applyFill="1" applyBorder="1" applyAlignment="1">
      <alignment horizontal="center"/>
    </xf>
    <xf numFmtId="165" fontId="16" fillId="10" borderId="0" xfId="0" applyNumberFormat="1" applyFont="1" applyFill="1" applyAlignment="1">
      <alignment horizontal="center" vertical="center"/>
    </xf>
    <xf numFmtId="167" fontId="16" fillId="10" borderId="40" xfId="0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17" fontId="0" fillId="0" borderId="0" xfId="0" applyNumberFormat="1"/>
    <xf numFmtId="164" fontId="16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/>
    <xf numFmtId="0" fontId="0" fillId="0" borderId="6" xfId="0" applyBorder="1"/>
    <xf numFmtId="1" fontId="14" fillId="0" borderId="40" xfId="0" applyNumberFormat="1" applyFont="1" applyBorder="1" applyAlignment="1">
      <alignment horizontal="center" vertical="center"/>
    </xf>
    <xf numFmtId="1" fontId="0" fillId="0" borderId="41" xfId="0" applyNumberFormat="1" applyBorder="1" applyAlignment="1">
      <alignment horizontal="center"/>
    </xf>
    <xf numFmtId="164" fontId="16" fillId="0" borderId="35" xfId="0" applyNumberFormat="1" applyFont="1" applyBorder="1" applyAlignment="1">
      <alignment horizontal="center" vertical="center"/>
    </xf>
    <xf numFmtId="167" fontId="16" fillId="0" borderId="4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 indent="5"/>
    </xf>
    <xf numFmtId="0" fontId="6" fillId="7" borderId="15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1" fontId="6" fillId="2" borderId="43" xfId="0" applyNumberFormat="1" applyFont="1" applyFill="1" applyBorder="1" applyAlignment="1">
      <alignment horizontal="center" vertical="center" wrapText="1"/>
    </xf>
    <xf numFmtId="1" fontId="6" fillId="2" borderId="44" xfId="0" applyNumberFormat="1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17" fillId="8" borderId="5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9" fillId="2" borderId="0" xfId="0" quotePrefix="1" applyFont="1" applyFill="1" applyAlignment="1">
      <alignment horizontal="left" vertical="center"/>
    </xf>
    <xf numFmtId="0" fontId="17" fillId="8" borderId="5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8" borderId="55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17" fillId="8" borderId="45" xfId="0" applyFont="1" applyFill="1" applyBorder="1" applyAlignment="1">
      <alignment horizontal="center" vertical="center" wrapText="1"/>
    </xf>
    <xf numFmtId="0" fontId="17" fillId="8" borderId="47" xfId="0" applyFont="1" applyFill="1" applyBorder="1" applyAlignment="1">
      <alignment horizontal="center" vertical="center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46" xfId="0" applyFont="1" applyFill="1" applyBorder="1" applyAlignment="1">
      <alignment horizontal="center" vertical="center" wrapText="1"/>
    </xf>
    <xf numFmtId="0" fontId="17" fillId="8" borderId="48" xfId="0" applyFont="1" applyFill="1" applyBorder="1" applyAlignment="1">
      <alignment horizontal="center" vertical="center" wrapText="1"/>
    </xf>
    <xf numFmtId="0" fontId="17" fillId="8" borderId="50" xfId="0" applyFont="1" applyFill="1" applyBorder="1" applyAlignment="1">
      <alignment horizontal="center" vertical="center" wrapText="1"/>
    </xf>
    <xf numFmtId="0" fontId="17" fillId="8" borderId="51" xfId="0" applyFont="1" applyFill="1" applyBorder="1" applyAlignment="1">
      <alignment horizontal="center" vertical="center" wrapText="1"/>
    </xf>
    <xf numFmtId="1" fontId="0" fillId="0" borderId="3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167" fontId="0" fillId="0" borderId="39" xfId="0" applyNumberFormat="1" applyBorder="1" applyAlignment="1">
      <alignment horizontal="center"/>
    </xf>
    <xf numFmtId="167" fontId="0" fillId="0" borderId="40" xfId="0" applyNumberFormat="1" applyBorder="1" applyAlignment="1">
      <alignment horizontal="center"/>
    </xf>
    <xf numFmtId="1" fontId="0" fillId="10" borderId="39" xfId="0" applyNumberFormat="1" applyFill="1" applyBorder="1" applyAlignment="1">
      <alignment horizontal="center"/>
    </xf>
    <xf numFmtId="1" fontId="0" fillId="10" borderId="40" xfId="0" applyNumberForma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10" borderId="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FF"/>
      <color rgb="FFFFFF99"/>
      <color rgb="FFFFFF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sp macro="" textlink="">
      <xdr:nvSpPr>
        <xdr:cNvPr id="2" name="AutoShape 1" descr="https://d.adroll.com/cm/aol/out?advertisable=N72PUIA4HNAE3FQIWY6SHP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pic>
      <xdr:nvPicPr>
        <xdr:cNvPr id="3" name="Picture 2" descr="https://d.adroll.com/cm/index/out?advertisable=N72PUIA4HNAE3FQIWY6SH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9525</xdr:colOff>
      <xdr:row>51</xdr:row>
      <xdr:rowOff>9525</xdr:rowOff>
    </xdr:to>
    <xdr:pic>
      <xdr:nvPicPr>
        <xdr:cNvPr id="4" name="Picture 3" descr="https://d.adroll.com/cm/n/out?advertisable=N72PUIA4HNAE3FQIWY6SHP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3525" y="10896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sp macro="" textlink="">
      <xdr:nvSpPr>
        <xdr:cNvPr id="5" name="AutoShape 4" descr="https://d.adroll.com/cm/outbrain/out?advertisable=N72PUIA4HNAE3FQIWY6SHP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sp macro="" textlink="">
      <xdr:nvSpPr>
        <xdr:cNvPr id="6" name="AutoShape 5" descr="https://d.adroll.com/cm/pubmatic/out?advertisable=N72PUIA4HNAE3FQIWY6SHP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sp macro="" textlink="">
      <xdr:nvSpPr>
        <xdr:cNvPr id="7" name="AutoShape 6" descr="https://d.adroll.com/cm/taboola/out?advertisable=N72PUIA4HNAE3FQIWY6SHP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pic>
      <xdr:nvPicPr>
        <xdr:cNvPr id="8" name="Picture 7" descr="https://d.adroll.com/cm/triplelift/out?advertisable=N72PUIA4HNAE3FQIWY6SH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pic>
      <xdr:nvPicPr>
        <xdr:cNvPr id="9" name="Picture 8" descr="https://d.adroll.com/fb/tr/?id=765215406868054&amp;ev=ViewContent&amp;cd%5bcontent_type%5d=product&amp;cd%5bcontent_ids%5d=adroll_dummy_product_&amp;cd%5bapplication_id%5d=321379434608647&amp;cd%5bproduct_catalog_id%5d=93363619669508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sp macro="" textlink="">
      <xdr:nvSpPr>
        <xdr:cNvPr id="10" name="AutoShape 9" descr="https://d.adroll.com/cm/r/out?advertisable=N72PUIA4HNAE3FQIWY6SHP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pic>
      <xdr:nvPicPr>
        <xdr:cNvPr id="11" name="Picture 10" descr="https://d.adroll.com/cm/b/out?advertisable=N72PUIA4HNAE3FQIWY6SHP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pic>
      <xdr:nvPicPr>
        <xdr:cNvPr id="12" name="Picture 11" descr="https://d.adroll.com/cm/x/out?advertisable=N72PUIA4HNAE3FQIWY6SHP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pic>
      <xdr:nvPicPr>
        <xdr:cNvPr id="13" name="Picture 12" descr="https://d.adroll.com/cm/l/out?advertisable=N72PUIA4HNAE3FQIWY6SHP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pic>
      <xdr:nvPicPr>
        <xdr:cNvPr id="14" name="Picture 13" descr="https://d.adroll.com/cm/o/out?advertisable=N72PUIA4HNAE3FQIWY6SHP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pic>
      <xdr:nvPicPr>
        <xdr:cNvPr id="15" name="Picture 14" descr="https://d.adroll.com/cm/u/out?advertisable=N72PUIA4HNAE3FQIWY6SHP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9525</xdr:colOff>
      <xdr:row>41</xdr:row>
      <xdr:rowOff>9525</xdr:rowOff>
    </xdr:to>
    <xdr:pic>
      <xdr:nvPicPr>
        <xdr:cNvPr id="16" name="Picture 15" descr="https://d.adroll.com/cm/g/out?advertisable=N72PUIA4HNAE3FQIWY6SHP&amp;google_nid=adroll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352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85</xdr:row>
      <xdr:rowOff>0</xdr:rowOff>
    </xdr:from>
    <xdr:ext cx="9525" cy="9525"/>
    <xdr:sp macro="" textlink="">
      <xdr:nvSpPr>
        <xdr:cNvPr id="17" name="AutoShape 1" descr="https://d.adroll.com/cm/aol/out?advertisable=N72PUIA4HNAE3FQIWY6SHP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85</xdr:row>
      <xdr:rowOff>0</xdr:rowOff>
    </xdr:from>
    <xdr:ext cx="9525" cy="9525"/>
    <xdr:pic>
      <xdr:nvPicPr>
        <xdr:cNvPr id="18" name="Picture 17" descr="https://d.adroll.com/cm/index/out?advertisable=N72PUIA4HNAE3FQIWY6SHP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85</xdr:row>
      <xdr:rowOff>0</xdr:rowOff>
    </xdr:from>
    <xdr:ext cx="9525" cy="9525"/>
    <xdr:sp macro="" textlink="">
      <xdr:nvSpPr>
        <xdr:cNvPr id="19" name="AutoShape 4" descr="https://d.adroll.com/cm/outbrain/out?advertisable=N72PUIA4HNAE3FQIWY6SHP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85</xdr:row>
      <xdr:rowOff>0</xdr:rowOff>
    </xdr:from>
    <xdr:ext cx="9525" cy="9525"/>
    <xdr:sp macro="" textlink="">
      <xdr:nvSpPr>
        <xdr:cNvPr id="20" name="AutoShape 5" descr="https://d.adroll.com/cm/pubmatic/out?advertisable=N72PUIA4HNAE3FQIWY6SHP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85</xdr:row>
      <xdr:rowOff>0</xdr:rowOff>
    </xdr:from>
    <xdr:ext cx="9525" cy="9525"/>
    <xdr:sp macro="" textlink="">
      <xdr:nvSpPr>
        <xdr:cNvPr id="21" name="AutoShape 6" descr="https://d.adroll.com/cm/taboola/out?advertisable=N72PUIA4HNAE3FQIWY6SHP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85</xdr:row>
      <xdr:rowOff>0</xdr:rowOff>
    </xdr:from>
    <xdr:ext cx="9525" cy="9525"/>
    <xdr:pic>
      <xdr:nvPicPr>
        <xdr:cNvPr id="22" name="Picture 21" descr="https://d.adroll.com/cm/triplelift/out?advertisable=N72PUIA4HNAE3FQIWY6SHP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85</xdr:row>
      <xdr:rowOff>0</xdr:rowOff>
    </xdr:from>
    <xdr:ext cx="9525" cy="9525"/>
    <xdr:pic>
      <xdr:nvPicPr>
        <xdr:cNvPr id="23" name="Picture 22" descr="https://d.adroll.com/fb/tr/?id=765215406868054&amp;ev=ViewContent&amp;cd%5bcontent_type%5d=product&amp;cd%5bcontent_ids%5d=adroll_dummy_product_&amp;cd%5bapplication_id%5d=321379434608647&amp;cd%5bproduct_catalog_id%5d=933636196695088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85</xdr:row>
      <xdr:rowOff>0</xdr:rowOff>
    </xdr:from>
    <xdr:ext cx="9525" cy="9525"/>
    <xdr:sp macro="" textlink="">
      <xdr:nvSpPr>
        <xdr:cNvPr id="24" name="AutoShape 9" descr="https://d.adroll.com/cm/r/out?advertisable=N72PUIA4HNAE3FQIWY6SHP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85</xdr:row>
      <xdr:rowOff>0</xdr:rowOff>
    </xdr:from>
    <xdr:ext cx="9525" cy="9525"/>
    <xdr:pic>
      <xdr:nvPicPr>
        <xdr:cNvPr id="25" name="Picture 24" descr="https://d.adroll.com/cm/b/out?advertisable=N72PUIA4HNAE3FQIWY6SHP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85</xdr:row>
      <xdr:rowOff>0</xdr:rowOff>
    </xdr:from>
    <xdr:ext cx="9525" cy="9525"/>
    <xdr:pic>
      <xdr:nvPicPr>
        <xdr:cNvPr id="26" name="Picture 25" descr="https://d.adroll.com/cm/x/out?advertisable=N72PUIA4HNAE3FQIWY6SHP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85</xdr:row>
      <xdr:rowOff>0</xdr:rowOff>
    </xdr:from>
    <xdr:ext cx="9525" cy="9525"/>
    <xdr:pic>
      <xdr:nvPicPr>
        <xdr:cNvPr id="27" name="Picture 26" descr="https://d.adroll.com/cm/l/out?advertisable=N72PUIA4HNAE3FQIWY6SHP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85</xdr:row>
      <xdr:rowOff>0</xdr:rowOff>
    </xdr:from>
    <xdr:ext cx="9525" cy="9525"/>
    <xdr:pic>
      <xdr:nvPicPr>
        <xdr:cNvPr id="28" name="Picture 27" descr="https://d.adroll.com/cm/o/out?advertisable=N72PUIA4HNAE3FQIWY6SHP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85</xdr:row>
      <xdr:rowOff>0</xdr:rowOff>
    </xdr:from>
    <xdr:ext cx="9525" cy="9525"/>
    <xdr:pic>
      <xdr:nvPicPr>
        <xdr:cNvPr id="29" name="Picture 28" descr="https://d.adroll.com/cm/u/out?advertisable=N72PUIA4HNAE3FQIWY6SHP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85</xdr:row>
      <xdr:rowOff>0</xdr:rowOff>
    </xdr:from>
    <xdr:ext cx="9525" cy="9525"/>
    <xdr:pic>
      <xdr:nvPicPr>
        <xdr:cNvPr id="30" name="Picture 29" descr="https://d.adroll.com/cm/g/out?advertisable=N72PUIA4HNAE3FQIWY6SHP&amp;google_nid=adroll5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807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Y106"/>
  <sheetViews>
    <sheetView tabSelected="1" zoomScale="70" zoomScaleNormal="70" workbookViewId="0">
      <selection activeCell="B30" sqref="B30"/>
    </sheetView>
  </sheetViews>
  <sheetFormatPr defaultColWidth="27.26953125" defaultRowHeight="15.5" x14ac:dyDescent="0.35"/>
  <cols>
    <col min="1" max="2" width="27.26953125" style="46"/>
    <col min="3" max="3" width="27.453125" style="37" customWidth="1"/>
    <col min="4" max="4" width="19.26953125" style="37" bestFit="1" customWidth="1"/>
    <col min="5" max="5" width="17" style="1" customWidth="1"/>
    <col min="6" max="6" width="16" style="30" bestFit="1" customWidth="1"/>
    <col min="7" max="7" width="29.81640625" style="1" customWidth="1"/>
    <col min="8" max="8" width="69.453125" style="1" customWidth="1"/>
    <col min="9" max="9" width="20.54296875" style="1" bestFit="1" customWidth="1"/>
    <col min="10" max="10" width="14" style="1" customWidth="1"/>
    <col min="11" max="13" width="17.7265625" style="1" customWidth="1"/>
    <col min="14" max="15" width="27.26953125" style="1"/>
    <col min="16" max="16" width="2.26953125" style="1" customWidth="1"/>
    <col min="17" max="17" width="18.81640625" style="1" bestFit="1" customWidth="1"/>
    <col min="18" max="18" width="18.26953125" style="1" bestFit="1" customWidth="1"/>
    <col min="19" max="19" width="18.54296875" style="1" bestFit="1" customWidth="1"/>
    <col min="20" max="20" width="9.1796875" style="1" customWidth="1"/>
    <col min="21" max="23" width="4.26953125" style="1" customWidth="1"/>
    <col min="24" max="24" width="9.81640625" style="1" customWidth="1"/>
    <col min="25" max="16384" width="27.26953125" style="1"/>
  </cols>
  <sheetData>
    <row r="1" spans="3:25" x14ac:dyDescent="0.35">
      <c r="C1" s="47"/>
      <c r="D1" s="47"/>
      <c r="E1" s="16"/>
      <c r="F1" s="29"/>
      <c r="G1" s="16"/>
      <c r="H1" s="16"/>
      <c r="I1" s="16">
        <v>0.46071667697169749</v>
      </c>
      <c r="J1" s="16">
        <v>184.28667078867898</v>
      </c>
      <c r="K1" s="16"/>
      <c r="L1" s="16"/>
      <c r="M1" s="16"/>
      <c r="N1" s="16"/>
      <c r="O1" s="90" t="s">
        <v>0</v>
      </c>
      <c r="P1"/>
      <c r="Q1" s="87" t="s">
        <v>323</v>
      </c>
      <c r="R1" s="91" t="s">
        <v>324</v>
      </c>
      <c r="S1" s="92" t="s">
        <v>325</v>
      </c>
      <c r="T1" s="93" t="s">
        <v>326</v>
      </c>
      <c r="U1" t="s">
        <v>327</v>
      </c>
      <c r="V1" t="s">
        <v>328</v>
      </c>
      <c r="W1" t="s">
        <v>329</v>
      </c>
      <c r="X1"/>
      <c r="Y1"/>
    </row>
    <row r="2" spans="3:25" x14ac:dyDescent="0.35">
      <c r="C2" s="47"/>
      <c r="D2" s="47"/>
      <c r="E2" s="16"/>
      <c r="F2" s="29"/>
      <c r="G2" s="16"/>
      <c r="H2" s="16"/>
      <c r="I2" s="16"/>
      <c r="J2" s="16"/>
      <c r="K2" s="16"/>
      <c r="L2" s="16"/>
      <c r="M2" s="16"/>
      <c r="N2" s="16"/>
      <c r="O2" s="90"/>
      <c r="P2"/>
      <c r="Q2" s="87"/>
      <c r="R2" s="94"/>
      <c r="S2"/>
      <c r="T2" s="95"/>
      <c r="U2"/>
      <c r="V2"/>
      <c r="W2"/>
      <c r="X2"/>
      <c r="Y2"/>
    </row>
    <row r="3" spans="3:25" x14ac:dyDescent="0.35">
      <c r="C3" s="47"/>
      <c r="D3" s="47"/>
      <c r="E3" s="16"/>
      <c r="F3" s="29"/>
      <c r="G3" s="16"/>
      <c r="H3" s="16"/>
      <c r="I3" s="16"/>
      <c r="J3" s="16"/>
      <c r="K3" s="16"/>
      <c r="L3" s="16"/>
      <c r="M3" s="16"/>
      <c r="N3" s="16"/>
      <c r="O3" s="90" t="s">
        <v>4</v>
      </c>
      <c r="P3"/>
      <c r="Q3" s="87">
        <v>0.25</v>
      </c>
      <c r="R3" s="96">
        <f>Q3*1000</f>
        <v>250</v>
      </c>
      <c r="S3" s="97">
        <v>2.3688381160058064E-3</v>
      </c>
      <c r="T3" s="98">
        <v>0.94753524640232245</v>
      </c>
      <c r="U3" t="s">
        <v>10</v>
      </c>
      <c r="V3" t="s">
        <v>10</v>
      </c>
      <c r="W3" t="s">
        <v>10</v>
      </c>
      <c r="X3" t="s">
        <v>330</v>
      </c>
      <c r="Y3"/>
    </row>
    <row r="4" spans="3:25" ht="16" thickBot="1" x14ac:dyDescent="0.4">
      <c r="C4" s="47"/>
      <c r="D4" s="47"/>
      <c r="E4" s="16"/>
      <c r="F4" s="29"/>
      <c r="G4" s="16"/>
      <c r="H4" s="16"/>
      <c r="I4" s="16"/>
      <c r="J4" s="16"/>
      <c r="K4" s="16"/>
      <c r="L4" s="16"/>
      <c r="M4" s="16"/>
      <c r="N4" s="16"/>
      <c r="O4" s="90" t="s">
        <v>141</v>
      </c>
      <c r="P4"/>
      <c r="Q4" s="87">
        <v>5</v>
      </c>
      <c r="R4" s="96">
        <f t="shared" ref="R4:R68" si="0">Q4*1000</f>
        <v>5000</v>
      </c>
      <c r="S4" s="99">
        <v>0.19543645229528428</v>
      </c>
      <c r="T4" s="98">
        <v>3.9209165459056856</v>
      </c>
      <c r="U4" t="s">
        <v>10</v>
      </c>
      <c r="V4" t="s">
        <v>10</v>
      </c>
      <c r="W4" t="s">
        <v>10</v>
      </c>
      <c r="X4" t="s">
        <v>331</v>
      </c>
      <c r="Y4"/>
    </row>
    <row r="5" spans="3:25" ht="40.5" customHeight="1" thickTop="1" thickBot="1" x14ac:dyDescent="0.4">
      <c r="C5" s="166" t="s">
        <v>0</v>
      </c>
      <c r="D5" s="169" t="s">
        <v>444</v>
      </c>
      <c r="E5" s="169" t="s">
        <v>446</v>
      </c>
      <c r="F5" s="169" t="s">
        <v>202</v>
      </c>
      <c r="G5" s="169" t="s">
        <v>140</v>
      </c>
      <c r="H5" s="169" t="s">
        <v>436</v>
      </c>
      <c r="I5" s="169" t="s">
        <v>437</v>
      </c>
      <c r="J5" s="169"/>
      <c r="K5" s="160" t="s">
        <v>441</v>
      </c>
      <c r="L5" s="161"/>
      <c r="M5" s="162"/>
      <c r="N5" s="2"/>
      <c r="O5" s="90" t="s">
        <v>7</v>
      </c>
      <c r="P5"/>
      <c r="Q5" s="87">
        <v>0.06</v>
      </c>
      <c r="R5" s="96">
        <f t="shared" si="0"/>
        <v>60</v>
      </c>
      <c r="S5" s="97">
        <v>1.4662499999999999E-3</v>
      </c>
      <c r="T5" s="98">
        <v>2.4437499999999996</v>
      </c>
      <c r="U5" t="s">
        <v>10</v>
      </c>
      <c r="V5" t="s">
        <v>10</v>
      </c>
      <c r="W5" t="s">
        <v>10</v>
      </c>
      <c r="X5" t="s">
        <v>332</v>
      </c>
      <c r="Y5"/>
    </row>
    <row r="6" spans="3:25" ht="21.75" customHeight="1" thickTop="1" thickBot="1" x14ac:dyDescent="0.4">
      <c r="C6" s="167"/>
      <c r="D6" s="170"/>
      <c r="E6" s="170"/>
      <c r="F6" s="170"/>
      <c r="G6" s="170"/>
      <c r="H6" s="170"/>
      <c r="I6" s="172"/>
      <c r="J6" s="172"/>
      <c r="K6" s="163"/>
      <c r="L6" s="164"/>
      <c r="M6" s="165"/>
      <c r="N6" s="2"/>
      <c r="O6" s="90" t="s">
        <v>8</v>
      </c>
      <c r="P6" t="s">
        <v>333</v>
      </c>
      <c r="Q6" s="87"/>
      <c r="R6" s="96"/>
      <c r="S6"/>
      <c r="T6" s="95"/>
      <c r="U6" t="s">
        <v>321</v>
      </c>
      <c r="V6" t="s">
        <v>10</v>
      </c>
      <c r="W6" t="s">
        <v>10</v>
      </c>
      <c r="X6" t="s">
        <v>334</v>
      </c>
      <c r="Y6"/>
    </row>
    <row r="7" spans="3:25" ht="38.25" customHeight="1" thickTop="1" thickBot="1" x14ac:dyDescent="0.4">
      <c r="C7" s="168"/>
      <c r="D7" s="171"/>
      <c r="E7" s="171"/>
      <c r="F7" s="171"/>
      <c r="G7" s="171"/>
      <c r="H7" s="171"/>
      <c r="I7" s="138" t="s">
        <v>440</v>
      </c>
      <c r="J7" s="138" t="s">
        <v>143</v>
      </c>
      <c r="K7" s="138" t="s">
        <v>440</v>
      </c>
      <c r="L7" s="138" t="s">
        <v>439</v>
      </c>
      <c r="M7" s="139" t="s">
        <v>438</v>
      </c>
      <c r="N7" s="2"/>
      <c r="O7" s="90"/>
      <c r="P7"/>
      <c r="Q7" s="87"/>
      <c r="R7" s="96"/>
      <c r="S7"/>
      <c r="T7" s="95"/>
      <c r="U7"/>
      <c r="V7"/>
      <c r="W7"/>
      <c r="X7"/>
      <c r="Y7"/>
    </row>
    <row r="8" spans="3:25" ht="16.5" thickTop="1" x14ac:dyDescent="0.35">
      <c r="C8" s="42" t="s">
        <v>4</v>
      </c>
      <c r="D8" s="52" t="s">
        <v>5</v>
      </c>
      <c r="E8" s="33" t="s">
        <v>39</v>
      </c>
      <c r="F8" s="53" t="s">
        <v>213</v>
      </c>
      <c r="G8" s="152" t="s">
        <v>160</v>
      </c>
      <c r="H8" s="33" t="s">
        <v>173</v>
      </c>
      <c r="I8" s="14" t="s">
        <v>69</v>
      </c>
      <c r="J8" s="32" t="s">
        <v>66</v>
      </c>
      <c r="K8" s="32" t="s">
        <v>197</v>
      </c>
      <c r="L8" s="32" t="s">
        <v>408</v>
      </c>
      <c r="M8" s="10">
        <v>0.9</v>
      </c>
      <c r="N8" s="2"/>
      <c r="O8" s="90" t="s">
        <v>11</v>
      </c>
      <c r="P8"/>
      <c r="Q8" s="87">
        <v>0.5</v>
      </c>
      <c r="R8" s="96">
        <f t="shared" si="0"/>
        <v>500</v>
      </c>
      <c r="S8" s="97">
        <v>3.8414319766035578E-3</v>
      </c>
      <c r="T8" s="98">
        <v>0.76828639532071152</v>
      </c>
      <c r="U8" t="s">
        <v>10</v>
      </c>
      <c r="V8" t="s">
        <v>10</v>
      </c>
      <c r="W8" t="s">
        <v>10</v>
      </c>
      <c r="X8" t="s">
        <v>335</v>
      </c>
      <c r="Y8"/>
    </row>
    <row r="9" spans="3:25" ht="16" x14ac:dyDescent="0.35">
      <c r="C9" s="42" t="s">
        <v>141</v>
      </c>
      <c r="D9" s="52" t="s">
        <v>5</v>
      </c>
      <c r="E9" s="33" t="s">
        <v>40</v>
      </c>
      <c r="F9" s="53" t="s">
        <v>6</v>
      </c>
      <c r="G9" s="152"/>
      <c r="H9" s="33" t="s">
        <v>173</v>
      </c>
      <c r="I9" s="14" t="s">
        <v>70</v>
      </c>
      <c r="J9" s="32" t="s">
        <v>68</v>
      </c>
      <c r="K9" s="32" t="s">
        <v>381</v>
      </c>
      <c r="L9" s="32" t="s">
        <v>420</v>
      </c>
      <c r="M9" s="10">
        <v>3.9</v>
      </c>
      <c r="N9" s="2"/>
      <c r="O9" s="90" t="s">
        <v>266</v>
      </c>
      <c r="P9"/>
      <c r="Q9" s="87" t="s">
        <v>336</v>
      </c>
      <c r="R9" s="173" t="s">
        <v>10</v>
      </c>
      <c r="S9" s="182"/>
      <c r="T9" s="174"/>
      <c r="U9" t="s">
        <v>322</v>
      </c>
      <c r="V9" t="s">
        <v>10</v>
      </c>
      <c r="W9" t="s">
        <v>10</v>
      </c>
      <c r="X9" t="s">
        <v>337</v>
      </c>
      <c r="Y9"/>
    </row>
    <row r="10" spans="3:25" ht="16" x14ac:dyDescent="0.35">
      <c r="C10" s="42" t="s">
        <v>7</v>
      </c>
      <c r="D10" s="52" t="s">
        <v>5</v>
      </c>
      <c r="E10" s="33" t="s">
        <v>41</v>
      </c>
      <c r="F10" s="53" t="s">
        <v>214</v>
      </c>
      <c r="G10" s="152"/>
      <c r="H10" s="33" t="s">
        <v>173</v>
      </c>
      <c r="I10" s="14" t="s">
        <v>71</v>
      </c>
      <c r="J10" s="32" t="s">
        <v>68</v>
      </c>
      <c r="K10" s="32" t="s">
        <v>382</v>
      </c>
      <c r="L10" s="32" t="s">
        <v>408</v>
      </c>
      <c r="M10" s="10">
        <v>2.4</v>
      </c>
      <c r="N10" s="2"/>
      <c r="O10" s="90" t="s">
        <v>15</v>
      </c>
      <c r="P10"/>
      <c r="Q10" s="87">
        <v>1.4E-2</v>
      </c>
      <c r="R10" s="96">
        <f t="shared" si="0"/>
        <v>14</v>
      </c>
      <c r="S10" s="100">
        <v>5.03021454629312E-3</v>
      </c>
      <c r="T10" s="101">
        <v>35.930103902093705</v>
      </c>
      <c r="U10" t="s">
        <v>10</v>
      </c>
      <c r="V10" t="s">
        <v>10</v>
      </c>
      <c r="W10" t="s">
        <v>10</v>
      </c>
      <c r="X10" t="s">
        <v>338</v>
      </c>
      <c r="Y10"/>
    </row>
    <row r="11" spans="3:25" ht="16" x14ac:dyDescent="0.35">
      <c r="C11" s="42" t="s">
        <v>8</v>
      </c>
      <c r="D11" s="52" t="s">
        <v>5</v>
      </c>
      <c r="E11" s="33" t="s">
        <v>42</v>
      </c>
      <c r="F11" s="53" t="s">
        <v>215</v>
      </c>
      <c r="G11" s="152"/>
      <c r="H11" s="33" t="s">
        <v>173</v>
      </c>
      <c r="I11" s="14" t="s">
        <v>72</v>
      </c>
      <c r="J11" s="32" t="s">
        <v>68</v>
      </c>
      <c r="K11" s="32" t="s">
        <v>383</v>
      </c>
      <c r="L11" s="32" t="s">
        <v>10</v>
      </c>
      <c r="M11" s="10" t="s">
        <v>10</v>
      </c>
      <c r="N11" s="2"/>
      <c r="O11" s="90" t="s">
        <v>12</v>
      </c>
      <c r="P11"/>
      <c r="Q11" s="87">
        <v>1</v>
      </c>
      <c r="R11" s="96">
        <f t="shared" si="0"/>
        <v>1000</v>
      </c>
      <c r="S11" s="102" t="s">
        <v>13</v>
      </c>
      <c r="T11" s="103" t="s">
        <v>13</v>
      </c>
      <c r="U11" t="s">
        <v>10</v>
      </c>
      <c r="V11" t="s">
        <v>10</v>
      </c>
      <c r="W11" t="s">
        <v>10</v>
      </c>
      <c r="X11" t="s">
        <v>331</v>
      </c>
      <c r="Y11"/>
    </row>
    <row r="12" spans="3:25" ht="16" x14ac:dyDescent="0.35">
      <c r="C12" s="42" t="s">
        <v>11</v>
      </c>
      <c r="D12" s="52" t="s">
        <v>5</v>
      </c>
      <c r="E12" s="33" t="s">
        <v>43</v>
      </c>
      <c r="F12" s="53" t="s">
        <v>216</v>
      </c>
      <c r="G12" s="152"/>
      <c r="H12" s="33" t="s">
        <v>173</v>
      </c>
      <c r="I12" s="14" t="s">
        <v>72</v>
      </c>
      <c r="J12" s="32" t="s">
        <v>68</v>
      </c>
      <c r="K12" s="32" t="s">
        <v>384</v>
      </c>
      <c r="L12" s="32" t="s">
        <v>442</v>
      </c>
      <c r="M12" s="10">
        <v>0.8</v>
      </c>
      <c r="N12" s="2"/>
      <c r="O12" s="90" t="s">
        <v>221</v>
      </c>
      <c r="P12"/>
      <c r="Q12" s="87"/>
      <c r="R12" s="175" t="s">
        <v>10</v>
      </c>
      <c r="S12" s="184"/>
      <c r="T12" s="176"/>
      <c r="U12" t="s">
        <v>10</v>
      </c>
      <c r="V12" t="s">
        <v>10</v>
      </c>
      <c r="W12" t="s">
        <v>10</v>
      </c>
      <c r="X12" t="s">
        <v>331</v>
      </c>
      <c r="Y12"/>
    </row>
    <row r="13" spans="3:25" ht="16.5" thickBot="1" x14ac:dyDescent="0.4">
      <c r="C13" s="74" t="s">
        <v>266</v>
      </c>
      <c r="D13" s="137" t="s">
        <v>5</v>
      </c>
      <c r="E13" s="34" t="s">
        <v>154</v>
      </c>
      <c r="F13" s="54" t="s">
        <v>217</v>
      </c>
      <c r="G13" s="153"/>
      <c r="H13" s="34" t="s">
        <v>291</v>
      </c>
      <c r="I13" s="15" t="s">
        <v>72</v>
      </c>
      <c r="J13" s="35" t="s">
        <v>68</v>
      </c>
      <c r="K13" s="35" t="s">
        <v>390</v>
      </c>
      <c r="L13" s="35" t="s">
        <v>10</v>
      </c>
      <c r="M13" s="12" t="s">
        <v>10</v>
      </c>
      <c r="N13" s="2"/>
      <c r="O13" s="90" t="s">
        <v>111</v>
      </c>
      <c r="P13"/>
      <c r="Q13" s="87">
        <v>0.125</v>
      </c>
      <c r="R13" s="96">
        <f t="shared" si="0"/>
        <v>125</v>
      </c>
      <c r="S13" s="102" t="s">
        <v>13</v>
      </c>
      <c r="T13" s="103" t="s">
        <v>13</v>
      </c>
      <c r="U13" t="s">
        <v>10</v>
      </c>
      <c r="V13" t="s">
        <v>10</v>
      </c>
      <c r="W13" t="s">
        <v>321</v>
      </c>
      <c r="X13" t="s">
        <v>339</v>
      </c>
      <c r="Y13"/>
    </row>
    <row r="14" spans="3:25" ht="16.5" thickTop="1" thickBot="1" x14ac:dyDescent="0.4">
      <c r="C14" s="42" t="s">
        <v>15</v>
      </c>
      <c r="D14" s="55" t="s">
        <v>5</v>
      </c>
      <c r="E14" s="33" t="s">
        <v>46</v>
      </c>
      <c r="F14" s="56" t="s">
        <v>223</v>
      </c>
      <c r="G14" s="31" t="s">
        <v>16</v>
      </c>
      <c r="H14" s="20" t="s">
        <v>174</v>
      </c>
      <c r="I14" s="43" t="s">
        <v>74</v>
      </c>
      <c r="J14" s="44" t="s">
        <v>175</v>
      </c>
      <c r="K14" s="128" t="s">
        <v>385</v>
      </c>
      <c r="L14" s="45" t="s">
        <v>319</v>
      </c>
      <c r="M14" s="21">
        <v>35.9</v>
      </c>
      <c r="N14" s="2"/>
      <c r="O14" s="90" t="s">
        <v>271</v>
      </c>
      <c r="P14" t="s">
        <v>340</v>
      </c>
      <c r="Q14" s="87"/>
      <c r="R14" s="96"/>
      <c r="S14"/>
      <c r="T14" s="95"/>
      <c r="U14" t="s">
        <v>321</v>
      </c>
      <c r="V14" t="s">
        <v>10</v>
      </c>
      <c r="W14" t="s">
        <v>10</v>
      </c>
      <c r="X14" t="s">
        <v>334</v>
      </c>
      <c r="Y14"/>
    </row>
    <row r="15" spans="3:25" ht="16" thickTop="1" x14ac:dyDescent="0.35">
      <c r="C15" s="73" t="s">
        <v>12</v>
      </c>
      <c r="D15" s="57" t="s">
        <v>5</v>
      </c>
      <c r="E15" s="50" t="s">
        <v>44</v>
      </c>
      <c r="F15" s="58" t="s">
        <v>219</v>
      </c>
      <c r="G15" s="141" t="s">
        <v>138</v>
      </c>
      <c r="H15" s="36" t="s">
        <v>168</v>
      </c>
      <c r="I15" s="13" t="s">
        <v>72</v>
      </c>
      <c r="J15" s="36" t="s">
        <v>66</v>
      </c>
      <c r="K15" s="36" t="s">
        <v>383</v>
      </c>
      <c r="L15" s="36" t="s">
        <v>13</v>
      </c>
      <c r="M15" s="9" t="s">
        <v>13</v>
      </c>
      <c r="N15" s="2"/>
      <c r="O15" s="90" t="s">
        <v>115</v>
      </c>
      <c r="P15"/>
      <c r="Q15" s="87"/>
      <c r="R15" s="177" t="s">
        <v>10</v>
      </c>
      <c r="S15" s="181"/>
      <c r="T15" s="178"/>
      <c r="U15" t="s">
        <v>321</v>
      </c>
      <c r="V15" t="s">
        <v>10</v>
      </c>
      <c r="W15" t="s">
        <v>10</v>
      </c>
      <c r="X15" t="s">
        <v>334</v>
      </c>
      <c r="Y15"/>
    </row>
    <row r="16" spans="3:25" x14ac:dyDescent="0.35">
      <c r="C16" s="42" t="s">
        <v>221</v>
      </c>
      <c r="D16" s="52" t="s">
        <v>5</v>
      </c>
      <c r="E16" s="33" t="s">
        <v>45</v>
      </c>
      <c r="F16" s="56" t="s">
        <v>14</v>
      </c>
      <c r="G16" s="142"/>
      <c r="H16" s="32" t="s">
        <v>187</v>
      </c>
      <c r="I16" s="14" t="s">
        <v>73</v>
      </c>
      <c r="J16" s="32" t="s">
        <v>66</v>
      </c>
      <c r="K16" s="32" t="s">
        <v>386</v>
      </c>
      <c r="L16" s="32" t="s">
        <v>10</v>
      </c>
      <c r="M16" s="10" t="s">
        <v>10</v>
      </c>
      <c r="N16" s="2"/>
      <c r="O16" s="90" t="s">
        <v>17</v>
      </c>
      <c r="P16"/>
      <c r="Q16" s="87">
        <v>0.5</v>
      </c>
      <c r="R16" s="96">
        <f t="shared" si="0"/>
        <v>500</v>
      </c>
      <c r="S16" s="104">
        <v>1.0500964854869637E-2</v>
      </c>
      <c r="T16" s="101">
        <v>2.10019297097393</v>
      </c>
      <c r="U16" t="s">
        <v>10</v>
      </c>
      <c r="V16" t="s">
        <v>10</v>
      </c>
      <c r="W16" t="s">
        <v>10</v>
      </c>
      <c r="X16" t="s">
        <v>331</v>
      </c>
      <c r="Y16"/>
    </row>
    <row r="17" spans="3:25" x14ac:dyDescent="0.35">
      <c r="C17" s="42" t="s">
        <v>111</v>
      </c>
      <c r="D17" s="59" t="s">
        <v>2</v>
      </c>
      <c r="E17" s="33" t="s">
        <v>112</v>
      </c>
      <c r="F17" s="56" t="s">
        <v>220</v>
      </c>
      <c r="G17" s="142"/>
      <c r="H17" s="32" t="s">
        <v>168</v>
      </c>
      <c r="I17" s="14" t="s">
        <v>67</v>
      </c>
      <c r="J17" s="32" t="s">
        <v>76</v>
      </c>
      <c r="K17" s="32" t="s">
        <v>387</v>
      </c>
      <c r="L17" s="32" t="s">
        <v>13</v>
      </c>
      <c r="M17" s="10" t="s">
        <v>13</v>
      </c>
      <c r="N17" s="2"/>
      <c r="O17" s="90" t="s">
        <v>145</v>
      </c>
      <c r="P17"/>
      <c r="Q17" s="87"/>
      <c r="R17" s="177" t="s">
        <v>10</v>
      </c>
      <c r="S17" s="181"/>
      <c r="T17" s="178"/>
      <c r="U17" t="s">
        <v>321</v>
      </c>
      <c r="V17" t="s">
        <v>10</v>
      </c>
      <c r="W17" t="s">
        <v>10</v>
      </c>
      <c r="X17" t="s">
        <v>334</v>
      </c>
      <c r="Y17"/>
    </row>
    <row r="18" spans="3:25" x14ac:dyDescent="0.35">
      <c r="C18" s="42" t="s">
        <v>271</v>
      </c>
      <c r="D18" s="60" t="s">
        <v>25</v>
      </c>
      <c r="E18" s="33" t="s">
        <v>113</v>
      </c>
      <c r="F18" s="56" t="s">
        <v>222</v>
      </c>
      <c r="G18" s="142"/>
      <c r="H18" s="6" t="s">
        <v>187</v>
      </c>
      <c r="I18" s="14" t="s">
        <v>72</v>
      </c>
      <c r="J18" s="32" t="s">
        <v>146</v>
      </c>
      <c r="K18" s="32" t="s">
        <v>383</v>
      </c>
      <c r="L18" s="32" t="s">
        <v>13</v>
      </c>
      <c r="M18" s="10" t="s">
        <v>13</v>
      </c>
      <c r="N18" s="2"/>
      <c r="O18" s="105" t="s">
        <v>274</v>
      </c>
      <c r="P18"/>
      <c r="Q18" s="87" t="s">
        <v>336</v>
      </c>
      <c r="R18" s="179"/>
      <c r="S18" s="183"/>
      <c r="T18" s="180"/>
      <c r="U18" t="s">
        <v>322</v>
      </c>
      <c r="V18" t="s">
        <v>10</v>
      </c>
      <c r="W18" t="s">
        <v>10</v>
      </c>
      <c r="X18" t="s">
        <v>341</v>
      </c>
      <c r="Y18"/>
    </row>
    <row r="19" spans="3:25" ht="16" thickBot="1" x14ac:dyDescent="0.4">
      <c r="C19" s="74" t="s">
        <v>115</v>
      </c>
      <c r="D19" s="61" t="s">
        <v>25</v>
      </c>
      <c r="E19" s="34" t="s">
        <v>114</v>
      </c>
      <c r="F19" s="62" t="s">
        <v>162</v>
      </c>
      <c r="G19" s="143"/>
      <c r="H19" s="6" t="s">
        <v>187</v>
      </c>
      <c r="I19" s="15" t="s">
        <v>147</v>
      </c>
      <c r="J19" s="35" t="s">
        <v>68</v>
      </c>
      <c r="K19" s="35" t="s">
        <v>388</v>
      </c>
      <c r="L19" s="32" t="s">
        <v>10</v>
      </c>
      <c r="M19" s="10" t="s">
        <v>10</v>
      </c>
      <c r="N19" s="2"/>
      <c r="O19" s="90" t="s">
        <v>20</v>
      </c>
      <c r="P19"/>
      <c r="Q19" s="87">
        <v>5</v>
      </c>
      <c r="R19" s="96">
        <f t="shared" si="0"/>
        <v>5000</v>
      </c>
      <c r="S19" s="99">
        <v>0.40735360884938793</v>
      </c>
      <c r="T19" s="98">
        <v>8.1470721769877592</v>
      </c>
      <c r="U19" t="s">
        <v>10</v>
      </c>
      <c r="V19" t="s">
        <v>10</v>
      </c>
      <c r="W19" t="s">
        <v>10</v>
      </c>
      <c r="X19" t="s">
        <v>342</v>
      </c>
      <c r="Y19"/>
    </row>
    <row r="20" spans="3:25" ht="16" thickTop="1" x14ac:dyDescent="0.35">
      <c r="C20" s="73" t="s">
        <v>17</v>
      </c>
      <c r="D20" s="57" t="s">
        <v>5</v>
      </c>
      <c r="E20" s="50" t="s">
        <v>47</v>
      </c>
      <c r="F20" s="58" t="s">
        <v>224</v>
      </c>
      <c r="G20" s="141" t="s">
        <v>170</v>
      </c>
      <c r="H20" s="4" t="s">
        <v>169</v>
      </c>
      <c r="I20" s="5" t="s">
        <v>148</v>
      </c>
      <c r="J20" s="4" t="s">
        <v>68</v>
      </c>
      <c r="K20" s="4" t="s">
        <v>384</v>
      </c>
      <c r="L20" s="4" t="s">
        <v>389</v>
      </c>
      <c r="M20" s="9">
        <v>2.1</v>
      </c>
      <c r="N20" s="2"/>
      <c r="O20" s="90" t="s">
        <v>89</v>
      </c>
      <c r="P20"/>
      <c r="Q20" s="87">
        <v>1</v>
      </c>
      <c r="R20" s="96">
        <f t="shared" si="0"/>
        <v>1000</v>
      </c>
      <c r="S20" s="97">
        <v>5.6019387209963259E-3</v>
      </c>
      <c r="T20" s="98">
        <v>0.56019387209963256</v>
      </c>
      <c r="U20" t="s">
        <v>321</v>
      </c>
      <c r="V20" t="s">
        <v>10</v>
      </c>
      <c r="W20" t="s">
        <v>10</v>
      </c>
      <c r="X20" t="s">
        <v>334</v>
      </c>
      <c r="Y20"/>
    </row>
    <row r="21" spans="3:25" x14ac:dyDescent="0.35">
      <c r="C21" s="42" t="s">
        <v>145</v>
      </c>
      <c r="D21" s="63" t="s">
        <v>116</v>
      </c>
      <c r="E21" s="33" t="s">
        <v>290</v>
      </c>
      <c r="F21" s="56" t="s">
        <v>157</v>
      </c>
      <c r="G21" s="142"/>
      <c r="H21" s="6" t="s">
        <v>169</v>
      </c>
      <c r="I21" s="7" t="s">
        <v>72</v>
      </c>
      <c r="J21" s="6" t="s">
        <v>146</v>
      </c>
      <c r="K21" s="6" t="s">
        <v>383</v>
      </c>
      <c r="L21" s="6" t="s">
        <v>10</v>
      </c>
      <c r="M21" s="10" t="s">
        <v>10</v>
      </c>
      <c r="N21" s="2"/>
      <c r="O21" s="105" t="s">
        <v>95</v>
      </c>
      <c r="P21" s="106"/>
      <c r="Q21" s="107">
        <v>0.125</v>
      </c>
      <c r="R21" s="108">
        <f t="shared" si="0"/>
        <v>125</v>
      </c>
      <c r="S21" s="109">
        <v>5.9883500965707201E-3</v>
      </c>
      <c r="T21" s="110">
        <v>3.8105339699660399</v>
      </c>
      <c r="U21" t="s">
        <v>321</v>
      </c>
      <c r="V21" t="s">
        <v>10</v>
      </c>
      <c r="W21" t="s">
        <v>10</v>
      </c>
      <c r="X21" t="s">
        <v>334</v>
      </c>
      <c r="Y21"/>
    </row>
    <row r="22" spans="3:25" ht="16.5" thickBot="1" x14ac:dyDescent="0.4">
      <c r="C22" s="74" t="s">
        <v>274</v>
      </c>
      <c r="D22" s="61" t="s">
        <v>9</v>
      </c>
      <c r="E22" s="34" t="s">
        <v>123</v>
      </c>
      <c r="F22" s="62" t="s">
        <v>155</v>
      </c>
      <c r="G22" s="143"/>
      <c r="H22" s="11" t="s">
        <v>315</v>
      </c>
      <c r="I22" s="15" t="s">
        <v>72</v>
      </c>
      <c r="J22" s="35" t="s">
        <v>68</v>
      </c>
      <c r="K22" s="127" t="s">
        <v>390</v>
      </c>
      <c r="L22" s="6" t="s">
        <v>10</v>
      </c>
      <c r="M22" s="10" t="s">
        <v>10</v>
      </c>
      <c r="N22" s="2"/>
      <c r="O22" s="90" t="s">
        <v>96</v>
      </c>
      <c r="P22"/>
      <c r="Q22" s="111">
        <v>1</v>
      </c>
      <c r="R22" s="96">
        <f t="shared" si="0"/>
        <v>1000</v>
      </c>
      <c r="S22" s="99">
        <v>0.12285814565130355</v>
      </c>
      <c r="T22" s="98">
        <v>12.285814565130353</v>
      </c>
      <c r="U22" t="s">
        <v>321</v>
      </c>
      <c r="V22" t="s">
        <v>10</v>
      </c>
      <c r="W22" t="s">
        <v>10</v>
      </c>
      <c r="X22" t="s">
        <v>334</v>
      </c>
      <c r="Y22"/>
    </row>
    <row r="23" spans="3:25" ht="16" thickTop="1" x14ac:dyDescent="0.35">
      <c r="C23" s="73" t="s">
        <v>20</v>
      </c>
      <c r="D23" s="57" t="s">
        <v>5</v>
      </c>
      <c r="E23" s="50" t="s">
        <v>50</v>
      </c>
      <c r="F23" s="58" t="s">
        <v>233</v>
      </c>
      <c r="G23" s="141" t="s">
        <v>172</v>
      </c>
      <c r="H23" s="4" t="s">
        <v>192</v>
      </c>
      <c r="I23" s="5" t="s">
        <v>70</v>
      </c>
      <c r="J23" s="4" t="s">
        <v>66</v>
      </c>
      <c r="K23" s="4" t="s">
        <v>381</v>
      </c>
      <c r="L23" s="4" t="s">
        <v>421</v>
      </c>
      <c r="M23" s="9">
        <v>8.1</v>
      </c>
      <c r="N23" s="2"/>
      <c r="O23" s="90" t="s">
        <v>88</v>
      </c>
      <c r="P23"/>
      <c r="Q23" s="87">
        <v>1</v>
      </c>
      <c r="R23" s="96">
        <f t="shared" si="0"/>
        <v>1000</v>
      </c>
      <c r="S23" s="97">
        <v>7.5020084810684812E-3</v>
      </c>
      <c r="T23" s="98">
        <v>0.75020084810684851</v>
      </c>
      <c r="U23" t="s">
        <v>321</v>
      </c>
      <c r="V23" t="s">
        <v>10</v>
      </c>
      <c r="W23" t="s">
        <v>10</v>
      </c>
      <c r="X23" t="s">
        <v>334</v>
      </c>
      <c r="Y23"/>
    </row>
    <row r="24" spans="3:25" x14ac:dyDescent="0.35">
      <c r="C24" s="42" t="s">
        <v>89</v>
      </c>
      <c r="D24" s="63" t="s">
        <v>116</v>
      </c>
      <c r="E24" s="33" t="s">
        <v>91</v>
      </c>
      <c r="F24" s="56" t="s">
        <v>235</v>
      </c>
      <c r="G24" s="142"/>
      <c r="H24" s="6" t="s">
        <v>192</v>
      </c>
      <c r="I24" s="7" t="s">
        <v>72</v>
      </c>
      <c r="J24" s="6" t="s">
        <v>146</v>
      </c>
      <c r="K24" s="6" t="s">
        <v>383</v>
      </c>
      <c r="L24" s="6" t="s">
        <v>198</v>
      </c>
      <c r="M24" s="10">
        <v>0.6</v>
      </c>
      <c r="N24" s="2"/>
      <c r="O24" s="90" t="s">
        <v>276</v>
      </c>
      <c r="P24"/>
      <c r="Q24" s="87">
        <v>0.125</v>
      </c>
      <c r="R24" s="96">
        <f t="shared" si="0"/>
        <v>125</v>
      </c>
      <c r="S24" s="112">
        <v>1.120419837704685</v>
      </c>
      <c r="T24" s="98">
        <v>896.33587016374804</v>
      </c>
      <c r="U24" t="s">
        <v>10</v>
      </c>
      <c r="V24" t="s">
        <v>322</v>
      </c>
      <c r="W24" t="s">
        <v>10</v>
      </c>
      <c r="X24" t="s">
        <v>343</v>
      </c>
      <c r="Y24"/>
    </row>
    <row r="25" spans="3:25" x14ac:dyDescent="0.35">
      <c r="C25" s="42" t="s">
        <v>95</v>
      </c>
      <c r="D25" s="63" t="s">
        <v>116</v>
      </c>
      <c r="E25" s="33" t="s">
        <v>97</v>
      </c>
      <c r="F25" s="56" t="s">
        <v>237</v>
      </c>
      <c r="G25" s="142"/>
      <c r="H25" s="6" t="s">
        <v>163</v>
      </c>
      <c r="I25" s="33" t="s">
        <v>72</v>
      </c>
      <c r="J25" s="32" t="s">
        <v>146</v>
      </c>
      <c r="K25" s="122" t="s">
        <v>387</v>
      </c>
      <c r="L25" s="32" t="s">
        <v>198</v>
      </c>
      <c r="M25" s="10">
        <v>4.8</v>
      </c>
      <c r="N25" s="2"/>
      <c r="O25" s="90" t="s">
        <v>279</v>
      </c>
      <c r="P25"/>
      <c r="Q25" s="87">
        <v>0.15</v>
      </c>
      <c r="R25" s="96">
        <f t="shared" si="0"/>
        <v>150</v>
      </c>
      <c r="S25" s="112">
        <v>5.2456004315577981E-2</v>
      </c>
      <c r="T25" s="98">
        <v>34.970669543718657</v>
      </c>
      <c r="U25" t="s">
        <v>10</v>
      </c>
      <c r="V25" t="s">
        <v>322</v>
      </c>
      <c r="W25" t="s">
        <v>10</v>
      </c>
      <c r="X25" t="s">
        <v>344</v>
      </c>
      <c r="Y25"/>
    </row>
    <row r="26" spans="3:25" x14ac:dyDescent="0.35">
      <c r="C26" s="42" t="s">
        <v>96</v>
      </c>
      <c r="D26" s="63" t="s">
        <v>116</v>
      </c>
      <c r="E26" s="33" t="s">
        <v>195</v>
      </c>
      <c r="F26" s="56" t="s">
        <v>238</v>
      </c>
      <c r="G26" s="142"/>
      <c r="H26" s="6" t="s">
        <v>163</v>
      </c>
      <c r="I26" s="14" t="s">
        <v>72</v>
      </c>
      <c r="J26" s="32" t="s">
        <v>146</v>
      </c>
      <c r="K26" s="32" t="s">
        <v>383</v>
      </c>
      <c r="L26" s="32" t="s">
        <v>391</v>
      </c>
      <c r="M26" s="10">
        <v>12.3</v>
      </c>
      <c r="N26" s="2"/>
      <c r="O26" s="90" t="s">
        <v>277</v>
      </c>
      <c r="P26"/>
      <c r="Q26" s="87">
        <v>0.1</v>
      </c>
      <c r="R26" s="96">
        <f t="shared" si="0"/>
        <v>100</v>
      </c>
      <c r="S26" s="99">
        <v>0.48556378463027228</v>
      </c>
      <c r="T26" s="98">
        <v>485.56378463027227</v>
      </c>
      <c r="U26" t="s">
        <v>10</v>
      </c>
      <c r="V26" t="s">
        <v>10</v>
      </c>
      <c r="W26" t="s">
        <v>10</v>
      </c>
      <c r="X26" t="s">
        <v>345</v>
      </c>
      <c r="Y26"/>
    </row>
    <row r="27" spans="3:25" x14ac:dyDescent="0.35">
      <c r="C27" s="42" t="s">
        <v>88</v>
      </c>
      <c r="D27" s="60" t="s">
        <v>25</v>
      </c>
      <c r="E27" s="33" t="s">
        <v>90</v>
      </c>
      <c r="F27" s="56" t="s">
        <v>234</v>
      </c>
      <c r="G27" s="142"/>
      <c r="H27" s="6" t="s">
        <v>192</v>
      </c>
      <c r="I27" s="14" t="s">
        <v>72</v>
      </c>
      <c r="J27" s="32" t="s">
        <v>146</v>
      </c>
      <c r="K27" s="32" t="s">
        <v>383</v>
      </c>
      <c r="L27" s="32" t="s">
        <v>443</v>
      </c>
      <c r="M27" s="10">
        <v>0.92567072587086352</v>
      </c>
      <c r="N27" s="2"/>
      <c r="O27" s="105" t="s">
        <v>317</v>
      </c>
      <c r="P27" t="s">
        <v>346</v>
      </c>
      <c r="Q27" s="87"/>
      <c r="R27" s="177" t="s">
        <v>10</v>
      </c>
      <c r="S27" s="181"/>
      <c r="T27" s="178"/>
      <c r="U27" t="s">
        <v>10</v>
      </c>
      <c r="V27" t="s">
        <v>322</v>
      </c>
      <c r="W27" t="s">
        <v>10</v>
      </c>
      <c r="X27" t="s">
        <v>347</v>
      </c>
      <c r="Y27"/>
    </row>
    <row r="28" spans="3:25" ht="16" thickBot="1" x14ac:dyDescent="0.4">
      <c r="C28" s="42" t="s">
        <v>276</v>
      </c>
      <c r="D28" s="60" t="s">
        <v>25</v>
      </c>
      <c r="E28" s="33" t="s">
        <v>194</v>
      </c>
      <c r="F28" s="56" t="s">
        <v>236</v>
      </c>
      <c r="G28" s="142"/>
      <c r="H28" s="6" t="s">
        <v>193</v>
      </c>
      <c r="I28" s="7" t="s">
        <v>148</v>
      </c>
      <c r="J28" s="26" t="s">
        <v>68</v>
      </c>
      <c r="K28" s="26" t="s">
        <v>387</v>
      </c>
      <c r="L28" s="6" t="s">
        <v>383</v>
      </c>
      <c r="M28" s="10">
        <v>896.3</v>
      </c>
      <c r="N28" s="2"/>
      <c r="O28" s="105" t="s">
        <v>126</v>
      </c>
      <c r="P28" s="113"/>
      <c r="Q28" s="87"/>
      <c r="R28" s="179"/>
      <c r="S28" s="183"/>
      <c r="T28" s="180"/>
      <c r="U28" t="s">
        <v>10</v>
      </c>
      <c r="V28" t="s">
        <v>10</v>
      </c>
      <c r="W28" t="s">
        <v>10</v>
      </c>
      <c r="X28" t="s">
        <v>348</v>
      </c>
      <c r="Y28"/>
    </row>
    <row r="29" spans="3:25" ht="16" thickTop="1" x14ac:dyDescent="0.35">
      <c r="C29" s="73" t="s">
        <v>279</v>
      </c>
      <c r="D29" s="57" t="s">
        <v>5</v>
      </c>
      <c r="E29" s="50" t="s">
        <v>86</v>
      </c>
      <c r="F29" s="58" t="s">
        <v>248</v>
      </c>
      <c r="G29" s="151" t="s">
        <v>164</v>
      </c>
      <c r="H29" s="4" t="s">
        <v>166</v>
      </c>
      <c r="I29" s="40" t="s">
        <v>148</v>
      </c>
      <c r="J29" s="36" t="s">
        <v>146</v>
      </c>
      <c r="K29" s="123" t="s">
        <v>392</v>
      </c>
      <c r="L29" s="36" t="s">
        <v>422</v>
      </c>
      <c r="M29" s="9">
        <v>35</v>
      </c>
      <c r="N29" s="2"/>
      <c r="O29" s="90" t="s">
        <v>35</v>
      </c>
      <c r="P29"/>
      <c r="Q29" s="87">
        <v>1</v>
      </c>
      <c r="R29" s="96">
        <f t="shared" si="0"/>
        <v>1000</v>
      </c>
      <c r="S29" s="111">
        <v>2.9690723376615418E-2</v>
      </c>
      <c r="T29" s="98">
        <v>2.9690723376615415</v>
      </c>
      <c r="U29" t="s">
        <v>10</v>
      </c>
      <c r="V29" t="s">
        <v>10</v>
      </c>
      <c r="W29" t="s">
        <v>10</v>
      </c>
      <c r="X29" t="s">
        <v>321</v>
      </c>
      <c r="Y29"/>
    </row>
    <row r="30" spans="3:25" x14ac:dyDescent="0.35">
      <c r="C30" s="42" t="s">
        <v>277</v>
      </c>
      <c r="D30" s="52" t="s">
        <v>5</v>
      </c>
      <c r="E30" s="33" t="s">
        <v>53</v>
      </c>
      <c r="F30" s="56" t="s">
        <v>23</v>
      </c>
      <c r="G30" s="152"/>
      <c r="H30" s="6" t="s">
        <v>166</v>
      </c>
      <c r="I30" s="41" t="s">
        <v>67</v>
      </c>
      <c r="J30" s="32" t="s">
        <v>68</v>
      </c>
      <c r="K30" s="32" t="s">
        <v>393</v>
      </c>
      <c r="L30" s="32" t="s">
        <v>423</v>
      </c>
      <c r="M30" s="10">
        <v>485.6</v>
      </c>
      <c r="N30" s="2"/>
      <c r="O30" s="90" t="s">
        <v>278</v>
      </c>
      <c r="P30" t="s">
        <v>349</v>
      </c>
      <c r="Q30" s="114">
        <v>3.125E-2</v>
      </c>
      <c r="R30" s="96">
        <f t="shared" si="0"/>
        <v>31.25</v>
      </c>
      <c r="S30" s="97">
        <v>4.7232463405035528E-3</v>
      </c>
      <c r="T30" s="98">
        <v>15.114388289611364</v>
      </c>
      <c r="U30" t="s">
        <v>10</v>
      </c>
      <c r="V30" t="s">
        <v>322</v>
      </c>
      <c r="W30" t="s">
        <v>10</v>
      </c>
      <c r="X30" t="s">
        <v>350</v>
      </c>
      <c r="Y30"/>
    </row>
    <row r="31" spans="3:25" x14ac:dyDescent="0.35">
      <c r="C31" s="42" t="s">
        <v>156</v>
      </c>
      <c r="D31" s="63" t="s">
        <v>116</v>
      </c>
      <c r="E31" s="33" t="s">
        <v>85</v>
      </c>
      <c r="F31" s="56" t="s">
        <v>245</v>
      </c>
      <c r="G31" s="152"/>
      <c r="H31" s="6" t="s">
        <v>165</v>
      </c>
      <c r="I31" s="14" t="s">
        <v>65</v>
      </c>
      <c r="J31" s="32" t="s">
        <v>68</v>
      </c>
      <c r="K31" s="32" t="s">
        <v>387</v>
      </c>
      <c r="L31" s="6" t="s">
        <v>10</v>
      </c>
      <c r="M31" s="10" t="s">
        <v>10</v>
      </c>
      <c r="N31" s="2"/>
      <c r="O31" s="90" t="s">
        <v>1</v>
      </c>
      <c r="P31"/>
      <c r="Q31" s="87">
        <v>6.25E-2</v>
      </c>
      <c r="R31" s="96">
        <f t="shared" si="0"/>
        <v>62.5</v>
      </c>
      <c r="S31" s="99">
        <v>0.130156601435886</v>
      </c>
      <c r="T31" s="98">
        <v>208.25056229741759</v>
      </c>
      <c r="U31" t="s">
        <v>10</v>
      </c>
      <c r="V31" t="s">
        <v>321</v>
      </c>
      <c r="W31" t="s">
        <v>10</v>
      </c>
      <c r="X31" t="s">
        <v>351</v>
      </c>
      <c r="Y31"/>
    </row>
    <row r="32" spans="3:25" x14ac:dyDescent="0.35">
      <c r="C32" s="42" t="s">
        <v>126</v>
      </c>
      <c r="D32" s="63" t="s">
        <v>116</v>
      </c>
      <c r="E32" s="33" t="s">
        <v>128</v>
      </c>
      <c r="F32" s="56" t="s">
        <v>246</v>
      </c>
      <c r="G32" s="152"/>
      <c r="H32" s="6" t="s">
        <v>184</v>
      </c>
      <c r="I32" s="7" t="s">
        <v>69</v>
      </c>
      <c r="J32" s="6" t="s">
        <v>68</v>
      </c>
      <c r="K32" s="26" t="s">
        <v>197</v>
      </c>
      <c r="L32" s="6" t="s">
        <v>394</v>
      </c>
      <c r="M32" s="10">
        <v>184</v>
      </c>
      <c r="N32" s="2"/>
      <c r="O32" s="90" t="s">
        <v>144</v>
      </c>
      <c r="P32"/>
      <c r="Q32" s="87">
        <v>0.5</v>
      </c>
      <c r="R32" s="96">
        <f t="shared" si="0"/>
        <v>500</v>
      </c>
      <c r="S32" s="99">
        <v>0.18296651456761337</v>
      </c>
      <c r="T32" s="98">
        <v>36.593302913522677</v>
      </c>
      <c r="U32" t="s">
        <v>10</v>
      </c>
      <c r="V32" t="s">
        <v>321</v>
      </c>
      <c r="W32" t="s">
        <v>10</v>
      </c>
      <c r="X32" t="s">
        <v>352</v>
      </c>
      <c r="Y32"/>
    </row>
    <row r="33" spans="2:25" x14ac:dyDescent="0.35">
      <c r="C33" s="42" t="s">
        <v>35</v>
      </c>
      <c r="D33" s="60" t="s">
        <v>9</v>
      </c>
      <c r="E33" s="33" t="s">
        <v>64</v>
      </c>
      <c r="F33" s="56" t="s">
        <v>260</v>
      </c>
      <c r="G33" s="152"/>
      <c r="H33" s="6" t="s">
        <v>288</v>
      </c>
      <c r="I33" s="7" t="s">
        <v>72</v>
      </c>
      <c r="J33" s="6" t="s">
        <v>435</v>
      </c>
      <c r="K33" s="6" t="s">
        <v>383</v>
      </c>
      <c r="L33" s="6" t="s">
        <v>199</v>
      </c>
      <c r="M33" s="10">
        <v>3</v>
      </c>
      <c r="N33" s="2"/>
      <c r="O33" s="90" t="s">
        <v>117</v>
      </c>
      <c r="P33"/>
      <c r="Q33" s="87">
        <v>1</v>
      </c>
      <c r="R33" s="96">
        <f t="shared" si="0"/>
        <v>1000</v>
      </c>
      <c r="S33" s="99">
        <v>0.16489394894812623</v>
      </c>
      <c r="T33" s="98">
        <v>16.489394894812623</v>
      </c>
      <c r="U33" t="s">
        <v>321</v>
      </c>
      <c r="V33" t="s">
        <v>10</v>
      </c>
      <c r="W33" t="s">
        <v>10</v>
      </c>
      <c r="X33" t="s">
        <v>331</v>
      </c>
      <c r="Y33"/>
    </row>
    <row r="34" spans="2:25" ht="16" thickBot="1" x14ac:dyDescent="0.4">
      <c r="C34" s="74" t="s">
        <v>278</v>
      </c>
      <c r="D34" s="61" t="s">
        <v>25</v>
      </c>
      <c r="E34" s="34" t="s">
        <v>87</v>
      </c>
      <c r="F34" s="62" t="s">
        <v>247</v>
      </c>
      <c r="G34" s="153"/>
      <c r="H34" s="11" t="s">
        <v>166</v>
      </c>
      <c r="I34" s="15" t="s">
        <v>148</v>
      </c>
      <c r="J34" s="35" t="s">
        <v>68</v>
      </c>
      <c r="K34" s="127" t="s">
        <v>433</v>
      </c>
      <c r="L34" s="35" t="s">
        <v>319</v>
      </c>
      <c r="M34" s="12">
        <v>15.1</v>
      </c>
      <c r="N34" s="2"/>
      <c r="O34" s="90" t="s">
        <v>159</v>
      </c>
      <c r="P34"/>
      <c r="Q34" s="111">
        <v>1</v>
      </c>
      <c r="R34" s="96">
        <f t="shared" si="0"/>
        <v>1000</v>
      </c>
      <c r="S34" s="99">
        <v>0.14349826193051479</v>
      </c>
      <c r="T34" s="98">
        <v>14.349826193051484</v>
      </c>
      <c r="U34" t="s">
        <v>321</v>
      </c>
      <c r="V34" t="s">
        <v>10</v>
      </c>
      <c r="W34" t="s">
        <v>10</v>
      </c>
      <c r="X34" t="s">
        <v>331</v>
      </c>
      <c r="Y34"/>
    </row>
    <row r="35" spans="2:25" ht="16" thickTop="1" x14ac:dyDescent="0.35">
      <c r="C35" s="42" t="s">
        <v>1</v>
      </c>
      <c r="D35" s="59" t="s">
        <v>2</v>
      </c>
      <c r="E35" s="33" t="s">
        <v>37</v>
      </c>
      <c r="F35" s="56" t="s">
        <v>203</v>
      </c>
      <c r="G35" s="148" t="s">
        <v>139</v>
      </c>
      <c r="H35" s="6" t="s">
        <v>161</v>
      </c>
      <c r="I35" s="7" t="s">
        <v>65</v>
      </c>
      <c r="J35" s="6" t="s">
        <v>66</v>
      </c>
      <c r="K35" s="6" t="s">
        <v>388</v>
      </c>
      <c r="L35" s="6" t="s">
        <v>395</v>
      </c>
      <c r="M35" s="10">
        <v>208.3</v>
      </c>
      <c r="N35" s="3"/>
      <c r="O35" s="90" t="s">
        <v>158</v>
      </c>
      <c r="P35"/>
      <c r="Q35" s="111">
        <v>1</v>
      </c>
      <c r="R35" s="96">
        <f t="shared" si="0"/>
        <v>1000</v>
      </c>
      <c r="S35" s="97">
        <v>4.4799950793821949E-3</v>
      </c>
      <c r="T35" s="98">
        <v>0.44799950793821947</v>
      </c>
      <c r="U35" t="s">
        <v>321</v>
      </c>
      <c r="V35" t="s">
        <v>10</v>
      </c>
      <c r="W35" t="s">
        <v>10</v>
      </c>
      <c r="X35" t="s">
        <v>331</v>
      </c>
      <c r="Y35"/>
    </row>
    <row r="36" spans="2:25" x14ac:dyDescent="0.35">
      <c r="C36" s="42" t="s">
        <v>144</v>
      </c>
      <c r="D36" s="63" t="s">
        <v>116</v>
      </c>
      <c r="E36" s="33" t="s">
        <v>119</v>
      </c>
      <c r="F36" s="56" t="s">
        <v>204</v>
      </c>
      <c r="G36" s="148"/>
      <c r="H36" s="6" t="s">
        <v>161</v>
      </c>
      <c r="I36" s="7" t="s">
        <v>148</v>
      </c>
      <c r="J36" s="6" t="s">
        <v>68</v>
      </c>
      <c r="K36" s="6" t="s">
        <v>384</v>
      </c>
      <c r="L36" s="6" t="s">
        <v>424</v>
      </c>
      <c r="M36" s="10">
        <v>36.6</v>
      </c>
      <c r="N36" s="3"/>
      <c r="O36" s="90" t="s">
        <v>118</v>
      </c>
      <c r="P36"/>
      <c r="Q36" s="87">
        <v>0.125</v>
      </c>
      <c r="R36" s="96">
        <f t="shared" si="0"/>
        <v>125</v>
      </c>
      <c r="S36" s="99">
        <v>0.40616825247015975</v>
      </c>
      <c r="T36" s="98">
        <v>324.93460197612774</v>
      </c>
      <c r="U36" t="s">
        <v>322</v>
      </c>
      <c r="V36" t="s">
        <v>10</v>
      </c>
      <c r="W36" t="s">
        <v>10</v>
      </c>
      <c r="X36" t="s">
        <v>353</v>
      </c>
      <c r="Y36"/>
    </row>
    <row r="37" spans="2:25" x14ac:dyDescent="0.35">
      <c r="C37" s="42" t="s">
        <v>117</v>
      </c>
      <c r="D37" s="63" t="s">
        <v>116</v>
      </c>
      <c r="E37" s="33" t="s">
        <v>120</v>
      </c>
      <c r="F37" s="56" t="s">
        <v>205</v>
      </c>
      <c r="G37" s="148"/>
      <c r="H37" s="6" t="s">
        <v>161</v>
      </c>
      <c r="I37" s="7" t="s">
        <v>72</v>
      </c>
      <c r="J37" s="6" t="s">
        <v>68</v>
      </c>
      <c r="K37" s="6" t="s">
        <v>383</v>
      </c>
      <c r="L37" s="6" t="s">
        <v>425</v>
      </c>
      <c r="M37" s="10">
        <v>16.5</v>
      </c>
      <c r="N37" s="3"/>
      <c r="O37" s="90" t="s">
        <v>18</v>
      </c>
      <c r="P37"/>
      <c r="Q37" s="87">
        <f>269/1.2/1000/4</f>
        <v>5.604166666666667E-2</v>
      </c>
      <c r="R37" s="96">
        <f t="shared" si="0"/>
        <v>56.041666666666671</v>
      </c>
      <c r="S37" s="104">
        <v>3.5483903645253091E-2</v>
      </c>
      <c r="T37" s="101">
        <v>63.317002787068702</v>
      </c>
      <c r="U37" t="s">
        <v>10</v>
      </c>
      <c r="V37" t="s">
        <v>10</v>
      </c>
      <c r="W37" t="s">
        <v>10</v>
      </c>
      <c r="X37" t="s">
        <v>354</v>
      </c>
      <c r="Y37"/>
    </row>
    <row r="38" spans="2:25" x14ac:dyDescent="0.35">
      <c r="C38" s="42" t="s">
        <v>159</v>
      </c>
      <c r="D38" s="60" t="s">
        <v>9</v>
      </c>
      <c r="E38" s="33" t="s">
        <v>121</v>
      </c>
      <c r="F38" s="56" t="s">
        <v>206</v>
      </c>
      <c r="G38" s="148"/>
      <c r="H38" s="6" t="s">
        <v>161</v>
      </c>
      <c r="I38" s="7" t="s">
        <v>72</v>
      </c>
      <c r="J38" s="6" t="s">
        <v>68</v>
      </c>
      <c r="K38" s="6" t="s">
        <v>383</v>
      </c>
      <c r="L38" s="6" t="s">
        <v>318</v>
      </c>
      <c r="M38" s="10">
        <v>14.3</v>
      </c>
      <c r="N38" s="3"/>
      <c r="O38" s="90" t="s">
        <v>81</v>
      </c>
      <c r="P38"/>
      <c r="Q38" s="87">
        <v>6.25E-2</v>
      </c>
      <c r="R38" s="96">
        <f t="shared" si="0"/>
        <v>62.5</v>
      </c>
      <c r="S38" s="99">
        <v>0.24671292273512202</v>
      </c>
      <c r="T38" s="98">
        <v>394.14067637619524</v>
      </c>
      <c r="U38" t="s">
        <v>10</v>
      </c>
      <c r="V38" t="s">
        <v>10</v>
      </c>
      <c r="W38" t="s">
        <v>10</v>
      </c>
      <c r="X38" t="s">
        <v>355</v>
      </c>
      <c r="Y38"/>
    </row>
    <row r="39" spans="2:25" x14ac:dyDescent="0.35">
      <c r="C39" s="42" t="s">
        <v>158</v>
      </c>
      <c r="D39" s="60" t="s">
        <v>9</v>
      </c>
      <c r="E39" s="33" t="s">
        <v>287</v>
      </c>
      <c r="F39" s="56" t="s">
        <v>208</v>
      </c>
      <c r="G39" s="148"/>
      <c r="H39" s="6" t="s">
        <v>167</v>
      </c>
      <c r="I39" s="7" t="s">
        <v>72</v>
      </c>
      <c r="J39" s="6" t="s">
        <v>146</v>
      </c>
      <c r="K39" s="6" t="s">
        <v>383</v>
      </c>
      <c r="L39" s="6" t="s">
        <v>319</v>
      </c>
      <c r="M39" s="10">
        <v>0.4</v>
      </c>
      <c r="N39" s="3"/>
      <c r="O39" s="90" t="s">
        <v>19</v>
      </c>
      <c r="P39"/>
      <c r="Q39" s="87">
        <f>269/1.2/1000/4</f>
        <v>5.604166666666667E-2</v>
      </c>
      <c r="R39" s="96">
        <f t="shared" si="0"/>
        <v>56.041666666666671</v>
      </c>
      <c r="S39" s="97">
        <v>4.8391219511221004E-3</v>
      </c>
      <c r="T39" s="98">
        <v>8.6348644480989147</v>
      </c>
      <c r="U39" t="s">
        <v>10</v>
      </c>
      <c r="V39" t="s">
        <v>10</v>
      </c>
      <c r="W39" t="s">
        <v>10</v>
      </c>
      <c r="X39" s="115" t="s">
        <v>356</v>
      </c>
      <c r="Y39"/>
    </row>
    <row r="40" spans="2:25" ht="16" thickBot="1" x14ac:dyDescent="0.4">
      <c r="C40" s="42" t="s">
        <v>118</v>
      </c>
      <c r="D40" s="60" t="s">
        <v>25</v>
      </c>
      <c r="E40" s="33" t="s">
        <v>122</v>
      </c>
      <c r="F40" s="56" t="s">
        <v>207</v>
      </c>
      <c r="G40" s="148"/>
      <c r="H40" s="6" t="s">
        <v>161</v>
      </c>
      <c r="I40" s="7" t="s">
        <v>65</v>
      </c>
      <c r="J40" s="6" t="s">
        <v>68</v>
      </c>
      <c r="K40" s="6" t="s">
        <v>387</v>
      </c>
      <c r="L40" s="6" t="s">
        <v>396</v>
      </c>
      <c r="M40" s="10">
        <v>325</v>
      </c>
      <c r="N40" s="3"/>
      <c r="O40" s="90" t="s">
        <v>129</v>
      </c>
      <c r="P40"/>
      <c r="Q40" s="111">
        <v>2.8020833333333335E-2</v>
      </c>
      <c r="R40" s="96">
        <f t="shared" si="0"/>
        <v>28.020833333333336</v>
      </c>
      <c r="S40" s="99">
        <v>0.1576822656657125</v>
      </c>
      <c r="T40" s="98">
        <v>562.73224921592566</v>
      </c>
      <c r="U40" t="s">
        <v>10</v>
      </c>
      <c r="V40" t="s">
        <v>10</v>
      </c>
      <c r="W40" t="s">
        <v>10</v>
      </c>
      <c r="X40" t="s">
        <v>357</v>
      </c>
      <c r="Y40"/>
    </row>
    <row r="41" spans="2:25" ht="16" thickTop="1" x14ac:dyDescent="0.35">
      <c r="C41" s="75" t="s">
        <v>18</v>
      </c>
      <c r="D41" s="64" t="s">
        <v>2</v>
      </c>
      <c r="E41" s="36" t="s">
        <v>48</v>
      </c>
      <c r="F41" s="58" t="s">
        <v>226</v>
      </c>
      <c r="G41" s="156" t="s">
        <v>176</v>
      </c>
      <c r="H41" s="36" t="s">
        <v>186</v>
      </c>
      <c r="I41" s="36" t="s">
        <v>71</v>
      </c>
      <c r="J41" s="36" t="s">
        <v>178</v>
      </c>
      <c r="K41" s="123" t="s">
        <v>397</v>
      </c>
      <c r="L41" s="36" t="s">
        <v>426</v>
      </c>
      <c r="M41" s="133">
        <v>63.3</v>
      </c>
      <c r="N41" s="3"/>
      <c r="O41" s="90" t="s">
        <v>92</v>
      </c>
      <c r="P41"/>
      <c r="Q41" s="87">
        <v>3.125E-2</v>
      </c>
      <c r="R41" s="96">
        <f t="shared" si="0"/>
        <v>31.25</v>
      </c>
      <c r="S41" s="99">
        <v>0.26398190469472288</v>
      </c>
      <c r="T41" s="98">
        <v>844.74209502311317</v>
      </c>
      <c r="U41" t="s">
        <v>10</v>
      </c>
      <c r="V41" t="s">
        <v>10</v>
      </c>
      <c r="W41" t="s">
        <v>10</v>
      </c>
      <c r="X41" s="115" t="s">
        <v>358</v>
      </c>
      <c r="Y41"/>
    </row>
    <row r="42" spans="2:25" x14ac:dyDescent="0.35">
      <c r="C42" s="76" t="s">
        <v>81</v>
      </c>
      <c r="D42" s="65" t="s">
        <v>9</v>
      </c>
      <c r="E42" s="51" t="s">
        <v>83</v>
      </c>
      <c r="F42" s="66" t="s">
        <v>263</v>
      </c>
      <c r="G42" s="157"/>
      <c r="H42" s="51" t="s">
        <v>186</v>
      </c>
      <c r="I42" s="51" t="s">
        <v>67</v>
      </c>
      <c r="J42" s="51" t="s">
        <v>68</v>
      </c>
      <c r="K42" s="124" t="s">
        <v>388</v>
      </c>
      <c r="L42" s="51" t="s">
        <v>399</v>
      </c>
      <c r="M42" s="134">
        <v>394.1</v>
      </c>
      <c r="N42" s="3"/>
      <c r="O42" s="90" t="s">
        <v>93</v>
      </c>
      <c r="P42"/>
      <c r="Q42" s="87">
        <f>18.75*5/6/1000</f>
        <v>1.5625E-2</v>
      </c>
      <c r="R42" s="96">
        <f>Q42*1000</f>
        <v>15.625</v>
      </c>
      <c r="S42" s="99">
        <v>0.16290819095554079</v>
      </c>
      <c r="T42" s="98">
        <v>1042.6124221154612</v>
      </c>
      <c r="U42" t="s">
        <v>10</v>
      </c>
      <c r="V42" t="s">
        <v>10</v>
      </c>
      <c r="W42" t="s">
        <v>10</v>
      </c>
      <c r="X42" t="s">
        <v>359</v>
      </c>
      <c r="Y42"/>
    </row>
    <row r="43" spans="2:25" ht="16" x14ac:dyDescent="0.35">
      <c r="C43" s="77" t="s">
        <v>19</v>
      </c>
      <c r="D43" s="67" t="s">
        <v>2</v>
      </c>
      <c r="E43" s="71" t="s">
        <v>49</v>
      </c>
      <c r="F43" s="68" t="s">
        <v>227</v>
      </c>
      <c r="G43" s="23" t="s">
        <v>177</v>
      </c>
      <c r="H43" s="25" t="s">
        <v>314</v>
      </c>
      <c r="I43" s="24" t="s">
        <v>75</v>
      </c>
      <c r="J43" s="25" t="s">
        <v>175</v>
      </c>
      <c r="K43" s="129" t="s">
        <v>397</v>
      </c>
      <c r="L43" s="27" t="s">
        <v>319</v>
      </c>
      <c r="M43" s="28">
        <v>8.6</v>
      </c>
      <c r="N43" s="3"/>
      <c r="O43" s="90" t="s">
        <v>133</v>
      </c>
      <c r="P43"/>
      <c r="Q43" s="87">
        <v>0.125</v>
      </c>
      <c r="R43" s="96">
        <f t="shared" si="0"/>
        <v>125</v>
      </c>
      <c r="S43" s="99">
        <v>0.22427176456770492</v>
      </c>
      <c r="T43" s="98">
        <v>179.41741165416394</v>
      </c>
      <c r="U43" t="s">
        <v>10</v>
      </c>
      <c r="V43" t="s">
        <v>10</v>
      </c>
      <c r="W43" t="s">
        <v>10</v>
      </c>
      <c r="X43" t="s">
        <v>360</v>
      </c>
      <c r="Y43"/>
    </row>
    <row r="44" spans="2:25" ht="16" x14ac:dyDescent="0.35">
      <c r="C44" s="42" t="s">
        <v>129</v>
      </c>
      <c r="D44" s="59" t="s">
        <v>2</v>
      </c>
      <c r="E44" s="33" t="s">
        <v>130</v>
      </c>
      <c r="F44" s="56" t="s">
        <v>228</v>
      </c>
      <c r="G44" s="154" t="s">
        <v>171</v>
      </c>
      <c r="H44" s="32" t="s">
        <v>313</v>
      </c>
      <c r="I44" s="14" t="s">
        <v>147</v>
      </c>
      <c r="J44" s="32" t="s">
        <v>68</v>
      </c>
      <c r="K44" s="130" t="s">
        <v>400</v>
      </c>
      <c r="L44" s="32" t="s">
        <v>427</v>
      </c>
      <c r="M44" s="10">
        <v>562.70000000000005</v>
      </c>
      <c r="N44" s="3"/>
      <c r="O44" s="90" t="s">
        <v>94</v>
      </c>
      <c r="P44"/>
      <c r="Q44" s="111">
        <v>0.25</v>
      </c>
      <c r="R44" s="96">
        <f t="shared" si="0"/>
        <v>250</v>
      </c>
      <c r="S44" s="99">
        <v>0.23045661537795273</v>
      </c>
      <c r="T44" s="98">
        <v>92.182646151181089</v>
      </c>
      <c r="U44" t="s">
        <v>321</v>
      </c>
      <c r="V44" t="s">
        <v>10</v>
      </c>
      <c r="W44" t="s">
        <v>10</v>
      </c>
      <c r="X44" t="s">
        <v>361</v>
      </c>
      <c r="Y44"/>
    </row>
    <row r="45" spans="2:25" ht="16" x14ac:dyDescent="0.35">
      <c r="B45" s="135"/>
      <c r="C45" s="42" t="s">
        <v>92</v>
      </c>
      <c r="D45" s="63" t="s">
        <v>116</v>
      </c>
      <c r="E45" s="33" t="s">
        <v>131</v>
      </c>
      <c r="F45" s="56" t="s">
        <v>229</v>
      </c>
      <c r="G45" s="154"/>
      <c r="H45" s="32" t="s">
        <v>312</v>
      </c>
      <c r="I45" s="14" t="s">
        <v>65</v>
      </c>
      <c r="J45" s="32" t="s">
        <v>68</v>
      </c>
      <c r="K45" s="32" t="s">
        <v>433</v>
      </c>
      <c r="L45" s="32" t="s">
        <v>428</v>
      </c>
      <c r="M45" s="10">
        <v>844.7</v>
      </c>
      <c r="N45" s="3"/>
      <c r="O45" s="90" t="s">
        <v>100</v>
      </c>
      <c r="P45"/>
      <c r="Q45" s="114">
        <v>3.125E-2</v>
      </c>
      <c r="R45" s="96">
        <f t="shared" si="0"/>
        <v>31.25</v>
      </c>
      <c r="S45" s="99">
        <v>0.381502647486962</v>
      </c>
      <c r="T45" s="98">
        <v>1219.1410788547653</v>
      </c>
      <c r="U45" t="s">
        <v>321</v>
      </c>
      <c r="V45" t="s">
        <v>10</v>
      </c>
      <c r="W45" t="s">
        <v>10</v>
      </c>
      <c r="X45" t="s">
        <v>362</v>
      </c>
      <c r="Y45"/>
    </row>
    <row r="46" spans="2:25" ht="16" x14ac:dyDescent="0.35">
      <c r="B46" s="135"/>
      <c r="C46" s="42" t="s">
        <v>93</v>
      </c>
      <c r="D46" s="63" t="s">
        <v>116</v>
      </c>
      <c r="E46" s="33" t="s">
        <v>132</v>
      </c>
      <c r="F46" s="56" t="s">
        <v>230</v>
      </c>
      <c r="G46" s="154"/>
      <c r="H46" s="32" t="s">
        <v>311</v>
      </c>
      <c r="I46" s="14" t="s">
        <v>150</v>
      </c>
      <c r="J46" s="32" t="s">
        <v>68</v>
      </c>
      <c r="K46" s="32" t="s">
        <v>434</v>
      </c>
      <c r="L46" s="32" t="s">
        <v>429</v>
      </c>
      <c r="M46" s="10">
        <v>1042.5999999999999</v>
      </c>
      <c r="N46" s="3"/>
      <c r="O46" s="90" t="s">
        <v>3</v>
      </c>
      <c r="P46"/>
      <c r="Q46" s="114">
        <v>0.05</v>
      </c>
      <c r="R46" s="96">
        <f t="shared" si="0"/>
        <v>50</v>
      </c>
      <c r="S46" s="99">
        <v>0.611353454016339</v>
      </c>
      <c r="T46" s="98">
        <v>1222.706908032678</v>
      </c>
      <c r="U46" t="s">
        <v>10</v>
      </c>
      <c r="V46" t="s">
        <v>10</v>
      </c>
      <c r="W46" t="s">
        <v>10</v>
      </c>
      <c r="X46" t="s">
        <v>363</v>
      </c>
      <c r="Y46"/>
    </row>
    <row r="47" spans="2:25" ht="16" x14ac:dyDescent="0.35">
      <c r="B47" s="135"/>
      <c r="C47" s="42" t="s">
        <v>133</v>
      </c>
      <c r="D47" s="63" t="s">
        <v>116</v>
      </c>
      <c r="E47" s="33" t="s">
        <v>134</v>
      </c>
      <c r="F47" s="56" t="s">
        <v>231</v>
      </c>
      <c r="G47" s="154"/>
      <c r="H47" s="32" t="s">
        <v>310</v>
      </c>
      <c r="I47" s="14" t="s">
        <v>65</v>
      </c>
      <c r="J47" s="32" t="s">
        <v>68</v>
      </c>
      <c r="K47" s="32" t="s">
        <v>387</v>
      </c>
      <c r="L47" s="32" t="s">
        <v>430</v>
      </c>
      <c r="M47" s="10">
        <v>179.4</v>
      </c>
      <c r="N47" s="3"/>
      <c r="O47" s="90" t="s">
        <v>98</v>
      </c>
      <c r="P47"/>
      <c r="Q47" s="114">
        <v>0.25</v>
      </c>
      <c r="R47" s="96">
        <f t="shared" si="0"/>
        <v>250</v>
      </c>
      <c r="S47" s="99">
        <v>0.34495526948681893</v>
      </c>
      <c r="T47" s="98">
        <v>137.98210779472754</v>
      </c>
      <c r="U47" t="s">
        <v>10</v>
      </c>
      <c r="V47" t="s">
        <v>321</v>
      </c>
      <c r="W47" t="s">
        <v>10</v>
      </c>
      <c r="X47" t="s">
        <v>364</v>
      </c>
      <c r="Y47"/>
    </row>
    <row r="48" spans="2:25" ht="16.5" thickBot="1" x14ac:dyDescent="0.4">
      <c r="B48" s="135"/>
      <c r="C48" s="74" t="s">
        <v>94</v>
      </c>
      <c r="D48" s="63" t="s">
        <v>116</v>
      </c>
      <c r="E48" s="34" t="s">
        <v>135</v>
      </c>
      <c r="F48" s="62" t="s">
        <v>232</v>
      </c>
      <c r="G48" s="155"/>
      <c r="H48" s="32" t="s">
        <v>309</v>
      </c>
      <c r="I48" s="15" t="s">
        <v>69</v>
      </c>
      <c r="J48" s="35" t="s">
        <v>68</v>
      </c>
      <c r="K48" s="35" t="s">
        <v>197</v>
      </c>
      <c r="L48" s="84" t="s">
        <v>431</v>
      </c>
      <c r="M48" s="85">
        <v>92.2</v>
      </c>
      <c r="N48" s="3"/>
      <c r="O48" s="90" t="s">
        <v>99</v>
      </c>
      <c r="P48"/>
      <c r="Q48" s="87">
        <v>0.5</v>
      </c>
      <c r="R48" s="96">
        <f t="shared" si="0"/>
        <v>500</v>
      </c>
      <c r="S48" s="99">
        <v>0.35216257702455595</v>
      </c>
      <c r="T48" s="98">
        <v>70.432515404911186</v>
      </c>
      <c r="U48" t="s">
        <v>10</v>
      </c>
      <c r="V48" t="s">
        <v>322</v>
      </c>
      <c r="W48" t="s">
        <v>10</v>
      </c>
      <c r="X48" t="s">
        <v>365</v>
      </c>
      <c r="Y48"/>
    </row>
    <row r="49" spans="1:25" ht="16.5" thickTop="1" x14ac:dyDescent="0.35">
      <c r="B49" s="135"/>
      <c r="C49" s="78" t="s">
        <v>100</v>
      </c>
      <c r="D49" s="69" t="s">
        <v>116</v>
      </c>
      <c r="E49" s="72" t="s">
        <v>104</v>
      </c>
      <c r="F49" s="38" t="s">
        <v>209</v>
      </c>
      <c r="G49" s="22" t="s">
        <v>101</v>
      </c>
      <c r="H49" s="17" t="s">
        <v>305</v>
      </c>
      <c r="I49" s="18" t="s">
        <v>65</v>
      </c>
      <c r="J49" s="17" t="s">
        <v>68</v>
      </c>
      <c r="K49" s="17" t="s">
        <v>433</v>
      </c>
      <c r="L49" s="17" t="s">
        <v>401</v>
      </c>
      <c r="M49" s="19">
        <v>1219.0999999999999</v>
      </c>
      <c r="N49" s="3"/>
      <c r="O49" s="90" t="s">
        <v>21</v>
      </c>
      <c r="P49"/>
      <c r="Q49" s="111">
        <v>0.9</v>
      </c>
      <c r="R49" s="96">
        <f t="shared" si="0"/>
        <v>900</v>
      </c>
      <c r="S49" s="111">
        <v>1.8244372874125132E-2</v>
      </c>
      <c r="T49" s="98">
        <v>2.0271525415694587</v>
      </c>
      <c r="U49" t="s">
        <v>10</v>
      </c>
      <c r="V49" t="s">
        <v>10</v>
      </c>
      <c r="W49" t="s">
        <v>10</v>
      </c>
      <c r="X49" t="s">
        <v>366</v>
      </c>
      <c r="Y49"/>
    </row>
    <row r="50" spans="1:25" ht="16" x14ac:dyDescent="0.35">
      <c r="A50" s="1"/>
      <c r="B50" s="136"/>
      <c r="C50" s="42" t="s">
        <v>3</v>
      </c>
      <c r="D50" s="59" t="s">
        <v>2</v>
      </c>
      <c r="E50" s="33" t="s">
        <v>38</v>
      </c>
      <c r="F50" s="39" t="s">
        <v>210</v>
      </c>
      <c r="G50" s="150" t="s">
        <v>136</v>
      </c>
      <c r="H50" s="6" t="s">
        <v>306</v>
      </c>
      <c r="I50" s="7" t="s">
        <v>67</v>
      </c>
      <c r="J50" s="6" t="s">
        <v>68</v>
      </c>
      <c r="K50" s="6" t="s">
        <v>402</v>
      </c>
      <c r="L50" s="6" t="s">
        <v>432</v>
      </c>
      <c r="M50" s="10">
        <v>1222.7</v>
      </c>
      <c r="N50" s="3"/>
      <c r="O50" s="90" t="s">
        <v>22</v>
      </c>
      <c r="P50" t="s">
        <v>367</v>
      </c>
      <c r="Q50" s="87"/>
      <c r="R50" s="177" t="s">
        <v>10</v>
      </c>
      <c r="S50" s="181"/>
      <c r="T50" s="178"/>
      <c r="U50" t="s">
        <v>10</v>
      </c>
      <c r="V50" t="s">
        <v>10</v>
      </c>
      <c r="W50" t="s">
        <v>10</v>
      </c>
      <c r="X50" t="s">
        <v>331</v>
      </c>
      <c r="Y50"/>
    </row>
    <row r="51" spans="1:25" ht="16" x14ac:dyDescent="0.35">
      <c r="A51" s="1"/>
      <c r="B51" s="136"/>
      <c r="C51" s="42" t="s">
        <v>98</v>
      </c>
      <c r="D51" s="63" t="s">
        <v>116</v>
      </c>
      <c r="E51" s="33" t="s">
        <v>102</v>
      </c>
      <c r="F51" s="39" t="s">
        <v>211</v>
      </c>
      <c r="G51" s="148"/>
      <c r="H51" s="6" t="s">
        <v>307</v>
      </c>
      <c r="I51" s="7" t="s">
        <v>69</v>
      </c>
      <c r="J51" s="6" t="s">
        <v>68</v>
      </c>
      <c r="K51" s="6" t="s">
        <v>197</v>
      </c>
      <c r="L51" s="6" t="s">
        <v>403</v>
      </c>
      <c r="M51" s="10">
        <v>138</v>
      </c>
      <c r="N51" s="3"/>
      <c r="O51" s="90" t="s">
        <v>106</v>
      </c>
      <c r="P51"/>
      <c r="Q51" s="87">
        <v>1</v>
      </c>
      <c r="R51" s="96">
        <f t="shared" si="0"/>
        <v>1000</v>
      </c>
      <c r="S51" s="99">
        <v>0.15243348374956925</v>
      </c>
      <c r="T51" s="98">
        <v>15.243348374956923</v>
      </c>
      <c r="U51" t="s">
        <v>321</v>
      </c>
      <c r="V51" t="s">
        <v>10</v>
      </c>
      <c r="W51" t="s">
        <v>10</v>
      </c>
      <c r="X51" t="s">
        <v>368</v>
      </c>
      <c r="Y51"/>
    </row>
    <row r="52" spans="1:25" ht="16.5" thickBot="1" x14ac:dyDescent="0.4">
      <c r="A52" s="1"/>
      <c r="B52" s="136"/>
      <c r="C52" s="42" t="s">
        <v>99</v>
      </c>
      <c r="D52" s="70" t="s">
        <v>116</v>
      </c>
      <c r="E52" s="33" t="s">
        <v>103</v>
      </c>
      <c r="F52" s="39" t="s">
        <v>212</v>
      </c>
      <c r="G52" s="149"/>
      <c r="H52" s="11" t="s">
        <v>308</v>
      </c>
      <c r="I52" s="8" t="s">
        <v>196</v>
      </c>
      <c r="J52" s="11" t="s">
        <v>68</v>
      </c>
      <c r="K52" s="11" t="s">
        <v>384</v>
      </c>
      <c r="L52" s="11" t="s">
        <v>404</v>
      </c>
      <c r="M52" s="12">
        <v>70.400000000000006</v>
      </c>
      <c r="N52" s="3"/>
      <c r="O52" s="90" t="s">
        <v>105</v>
      </c>
      <c r="P52" t="s">
        <v>369</v>
      </c>
      <c r="Q52" s="87"/>
      <c r="R52" s="173" t="s">
        <v>10</v>
      </c>
      <c r="S52" s="182"/>
      <c r="T52" s="174"/>
      <c r="U52" t="s">
        <v>321</v>
      </c>
      <c r="V52" t="s">
        <v>10</v>
      </c>
      <c r="W52" t="s">
        <v>10</v>
      </c>
      <c r="X52" t="s">
        <v>368</v>
      </c>
      <c r="Y52"/>
    </row>
    <row r="53" spans="1:25" ht="15" thickTop="1" x14ac:dyDescent="0.35">
      <c r="A53" s="1"/>
      <c r="B53" s="136"/>
      <c r="C53" s="73" t="s">
        <v>21</v>
      </c>
      <c r="D53" s="64" t="s">
        <v>2</v>
      </c>
      <c r="E53" s="50" t="s">
        <v>51</v>
      </c>
      <c r="F53" s="58" t="s">
        <v>239</v>
      </c>
      <c r="G53" s="144" t="s">
        <v>201</v>
      </c>
      <c r="H53" s="4" t="s">
        <v>190</v>
      </c>
      <c r="I53" s="5" t="s">
        <v>151</v>
      </c>
      <c r="J53" s="4" t="s">
        <v>66</v>
      </c>
      <c r="K53" s="131" t="s">
        <v>405</v>
      </c>
      <c r="L53" s="4" t="s">
        <v>406</v>
      </c>
      <c r="M53" s="9">
        <v>2</v>
      </c>
      <c r="N53" s="3"/>
      <c r="O53" s="90" t="s">
        <v>107</v>
      </c>
      <c r="P53"/>
      <c r="Q53" s="107">
        <v>1</v>
      </c>
      <c r="R53" s="96">
        <f t="shared" si="0"/>
        <v>1000</v>
      </c>
      <c r="S53" s="111">
        <v>1.6392477203647417E-3</v>
      </c>
      <c r="T53" s="98">
        <v>0.16392477203647415</v>
      </c>
      <c r="U53" t="s">
        <v>321</v>
      </c>
      <c r="V53" t="s">
        <v>10</v>
      </c>
      <c r="W53" t="s">
        <v>10</v>
      </c>
      <c r="X53" t="s">
        <v>368</v>
      </c>
      <c r="Y53"/>
    </row>
    <row r="54" spans="1:25" ht="14.5" x14ac:dyDescent="0.35">
      <c r="A54" s="1"/>
      <c r="B54" s="136"/>
      <c r="C54" s="42" t="s">
        <v>22</v>
      </c>
      <c r="D54" s="59" t="s">
        <v>2</v>
      </c>
      <c r="E54" s="33" t="s">
        <v>52</v>
      </c>
      <c r="F54" s="56" t="s">
        <v>240</v>
      </c>
      <c r="G54" s="145"/>
      <c r="H54" s="6" t="s">
        <v>190</v>
      </c>
      <c r="I54" s="14" t="s">
        <v>72</v>
      </c>
      <c r="J54" s="32" t="s">
        <v>146</v>
      </c>
      <c r="K54" s="32" t="s">
        <v>383</v>
      </c>
      <c r="L54" s="32" t="s">
        <v>10</v>
      </c>
      <c r="M54" s="10" t="s">
        <v>10</v>
      </c>
      <c r="N54" s="3"/>
      <c r="O54" s="90" t="s">
        <v>124</v>
      </c>
      <c r="P54"/>
      <c r="Q54" s="114">
        <v>0.125</v>
      </c>
      <c r="R54" s="96">
        <f t="shared" si="0"/>
        <v>125</v>
      </c>
      <c r="S54" s="99">
        <v>0.19092493717789674</v>
      </c>
      <c r="T54" s="98">
        <v>152.73994974231741</v>
      </c>
      <c r="U54" t="s">
        <v>10</v>
      </c>
      <c r="V54" t="s">
        <v>10</v>
      </c>
      <c r="W54" t="s">
        <v>10</v>
      </c>
      <c r="X54" t="s">
        <v>370</v>
      </c>
      <c r="Y54"/>
    </row>
    <row r="55" spans="1:25" ht="14.5" x14ac:dyDescent="0.35">
      <c r="A55" s="1"/>
      <c r="B55" s="136"/>
      <c r="C55" s="42" t="s">
        <v>106</v>
      </c>
      <c r="D55" s="60" t="s">
        <v>9</v>
      </c>
      <c r="E55" s="33" t="s">
        <v>108</v>
      </c>
      <c r="F55" s="56" t="s">
        <v>241</v>
      </c>
      <c r="G55" s="145"/>
      <c r="H55" s="6" t="s">
        <v>190</v>
      </c>
      <c r="I55" s="14" t="s">
        <v>72</v>
      </c>
      <c r="J55" s="32" t="s">
        <v>68</v>
      </c>
      <c r="K55" s="32" t="s">
        <v>383</v>
      </c>
      <c r="L55" s="32" t="s">
        <v>407</v>
      </c>
      <c r="M55" s="10">
        <v>15.24</v>
      </c>
      <c r="N55" s="3"/>
      <c r="O55" s="90" t="s">
        <v>125</v>
      </c>
      <c r="P55"/>
      <c r="Q55" s="87">
        <v>1</v>
      </c>
      <c r="R55" s="96">
        <f t="shared" si="0"/>
        <v>1000</v>
      </c>
      <c r="S55" s="99">
        <v>0.37719901418772078</v>
      </c>
      <c r="T55" s="98">
        <v>37.719901418772075</v>
      </c>
      <c r="U55" t="s">
        <v>10</v>
      </c>
      <c r="V55" t="s">
        <v>10</v>
      </c>
      <c r="W55" t="s">
        <v>10</v>
      </c>
      <c r="X55" t="s">
        <v>331</v>
      </c>
      <c r="Y55"/>
    </row>
    <row r="56" spans="1:25" ht="14.5" x14ac:dyDescent="0.35">
      <c r="A56" s="1"/>
      <c r="B56" s="136"/>
      <c r="C56" s="42" t="s">
        <v>105</v>
      </c>
      <c r="D56" s="60" t="s">
        <v>9</v>
      </c>
      <c r="E56" s="33" t="s">
        <v>109</v>
      </c>
      <c r="F56" s="56" t="s">
        <v>242</v>
      </c>
      <c r="G56" s="145"/>
      <c r="H56" s="6" t="s">
        <v>190</v>
      </c>
      <c r="I56" s="33" t="s">
        <v>72</v>
      </c>
      <c r="J56" s="32" t="s">
        <v>146</v>
      </c>
      <c r="K56" s="32" t="s">
        <v>383</v>
      </c>
      <c r="L56" s="32" t="s">
        <v>10</v>
      </c>
      <c r="M56" s="10" t="s">
        <v>10</v>
      </c>
      <c r="N56" s="3"/>
      <c r="O56" s="90" t="s">
        <v>179</v>
      </c>
      <c r="P56"/>
      <c r="Q56" s="111">
        <v>0.125</v>
      </c>
      <c r="R56" s="96">
        <f t="shared" si="0"/>
        <v>125</v>
      </c>
      <c r="S56" s="111">
        <v>9.5365720512511479E-2</v>
      </c>
      <c r="T56" s="98">
        <v>76.592576410009187</v>
      </c>
      <c r="U56" t="s">
        <v>321</v>
      </c>
      <c r="V56" t="s">
        <v>10</v>
      </c>
      <c r="W56" t="s">
        <v>10</v>
      </c>
      <c r="X56" t="s">
        <v>371</v>
      </c>
      <c r="Y56"/>
    </row>
    <row r="57" spans="1:25" ht="15" thickBot="1" x14ac:dyDescent="0.4">
      <c r="A57" s="1"/>
      <c r="B57" s="136"/>
      <c r="C57" s="74" t="s">
        <v>107</v>
      </c>
      <c r="D57" s="61" t="s">
        <v>9</v>
      </c>
      <c r="E57" s="34" t="s">
        <v>110</v>
      </c>
      <c r="F57" s="62" t="s">
        <v>243</v>
      </c>
      <c r="G57" s="146"/>
      <c r="H57" s="11" t="s">
        <v>190</v>
      </c>
      <c r="I57" s="33" t="s">
        <v>72</v>
      </c>
      <c r="J57" s="32" t="s">
        <v>146</v>
      </c>
      <c r="K57" s="32" t="s">
        <v>383</v>
      </c>
      <c r="L57" s="32" t="s">
        <v>408</v>
      </c>
      <c r="M57" s="10">
        <v>0.2</v>
      </c>
      <c r="N57" s="3"/>
      <c r="O57" s="90" t="s">
        <v>32</v>
      </c>
      <c r="P57"/>
      <c r="Q57" s="114">
        <v>2.5000000000000001E-2</v>
      </c>
      <c r="R57" s="96">
        <f t="shared" si="0"/>
        <v>25</v>
      </c>
      <c r="S57" s="111">
        <v>3.9717386768990781E-2</v>
      </c>
      <c r="T57" s="98">
        <v>158.86954707596314</v>
      </c>
      <c r="U57" t="s">
        <v>10</v>
      </c>
      <c r="V57" t="s">
        <v>321</v>
      </c>
      <c r="W57" t="s">
        <v>10</v>
      </c>
      <c r="X57" t="s">
        <v>372</v>
      </c>
      <c r="Y57"/>
    </row>
    <row r="58" spans="1:25" ht="17" thickTop="1" x14ac:dyDescent="0.35">
      <c r="A58" s="1"/>
      <c r="B58" s="136"/>
      <c r="C58" s="73" t="s">
        <v>124</v>
      </c>
      <c r="D58" s="64" t="s">
        <v>2</v>
      </c>
      <c r="E58" s="50" t="s">
        <v>127</v>
      </c>
      <c r="F58" s="58" t="s">
        <v>249</v>
      </c>
      <c r="G58" s="141" t="s">
        <v>137</v>
      </c>
      <c r="H58" s="4" t="s">
        <v>188</v>
      </c>
      <c r="I58" s="5" t="s">
        <v>69</v>
      </c>
      <c r="J58" s="4" t="s">
        <v>68</v>
      </c>
      <c r="K58" s="4" t="s">
        <v>387</v>
      </c>
      <c r="L58" s="4" t="s">
        <v>409</v>
      </c>
      <c r="M58" s="9">
        <v>152.69999999999999</v>
      </c>
      <c r="N58" s="3"/>
      <c r="O58" s="90" t="s">
        <v>152</v>
      </c>
      <c r="P58"/>
      <c r="Q58" s="87"/>
      <c r="R58" s="177" t="s">
        <v>10</v>
      </c>
      <c r="S58" s="181"/>
      <c r="T58" s="178"/>
      <c r="U58" t="s">
        <v>321</v>
      </c>
      <c r="V58" t="s">
        <v>10</v>
      </c>
      <c r="W58" t="s">
        <v>10</v>
      </c>
      <c r="X58" t="s">
        <v>373</v>
      </c>
      <c r="Y58"/>
    </row>
    <row r="59" spans="1:25" ht="14.5" x14ac:dyDescent="0.35">
      <c r="A59" s="1"/>
      <c r="B59" s="136"/>
      <c r="C59" s="42" t="s">
        <v>125</v>
      </c>
      <c r="D59" s="59" t="s">
        <v>2</v>
      </c>
      <c r="E59" s="33" t="s">
        <v>180</v>
      </c>
      <c r="F59" s="56" t="s">
        <v>250</v>
      </c>
      <c r="G59" s="142"/>
      <c r="H59" s="6" t="s">
        <v>189</v>
      </c>
      <c r="I59" s="14" t="s">
        <v>72</v>
      </c>
      <c r="J59" s="32" t="s">
        <v>68</v>
      </c>
      <c r="K59" s="32" t="s">
        <v>383</v>
      </c>
      <c r="L59" s="32" t="s">
        <v>410</v>
      </c>
      <c r="M59" s="10">
        <v>37.700000000000003</v>
      </c>
      <c r="N59" s="3"/>
      <c r="O59" s="90" t="s">
        <v>36</v>
      </c>
      <c r="P59"/>
      <c r="Q59" s="87">
        <v>0.15</v>
      </c>
      <c r="R59" s="96">
        <f t="shared" si="0"/>
        <v>150</v>
      </c>
      <c r="S59" s="111">
        <v>3.522767996223998E-2</v>
      </c>
      <c r="T59" s="98">
        <v>23.485119974826656</v>
      </c>
      <c r="U59" t="s">
        <v>10</v>
      </c>
      <c r="V59" t="s">
        <v>10</v>
      </c>
      <c r="W59" t="s">
        <v>10</v>
      </c>
      <c r="X59" t="s">
        <v>374</v>
      </c>
      <c r="Y59"/>
    </row>
    <row r="60" spans="1:25" ht="15" thickBot="1" x14ac:dyDescent="0.4">
      <c r="A60" s="1"/>
      <c r="B60" s="136"/>
      <c r="C60" s="74" t="s">
        <v>179</v>
      </c>
      <c r="D60" s="61" t="s">
        <v>9</v>
      </c>
      <c r="E60" s="34" t="s">
        <v>181</v>
      </c>
      <c r="F60" s="62" t="s">
        <v>251</v>
      </c>
      <c r="G60" s="143"/>
      <c r="H60" s="11" t="s">
        <v>182</v>
      </c>
      <c r="I60" s="8" t="s">
        <v>65</v>
      </c>
      <c r="J60" s="11" t="s">
        <v>68</v>
      </c>
      <c r="K60" s="11" t="s">
        <v>387</v>
      </c>
      <c r="L60" s="35" t="s">
        <v>320</v>
      </c>
      <c r="M60" s="12">
        <v>76.599999999999994</v>
      </c>
      <c r="N60" s="3"/>
      <c r="O60" s="90" t="s">
        <v>29</v>
      </c>
      <c r="P60"/>
      <c r="Q60" s="87">
        <v>6.25E-2</v>
      </c>
      <c r="R60" s="96">
        <f t="shared" si="0"/>
        <v>62.5</v>
      </c>
      <c r="S60" s="111">
        <v>2.6912849268672739E-2</v>
      </c>
      <c r="T60" s="98">
        <v>43.060558829876385</v>
      </c>
      <c r="U60" t="s">
        <v>10</v>
      </c>
      <c r="V60" t="s">
        <v>10</v>
      </c>
      <c r="W60" t="s">
        <v>10</v>
      </c>
      <c r="X60" t="s">
        <v>375</v>
      </c>
      <c r="Y60"/>
    </row>
    <row r="61" spans="1:25" ht="16.5" thickTop="1" x14ac:dyDescent="0.35">
      <c r="A61" s="1"/>
      <c r="B61" s="136"/>
      <c r="C61" s="42" t="s">
        <v>32</v>
      </c>
      <c r="D61" s="60" t="s">
        <v>9</v>
      </c>
      <c r="E61" s="33" t="s">
        <v>61</v>
      </c>
      <c r="F61" s="56" t="s">
        <v>258</v>
      </c>
      <c r="G61" s="147" t="s">
        <v>292</v>
      </c>
      <c r="H61" s="6" t="s">
        <v>304</v>
      </c>
      <c r="I61" s="7" t="s">
        <v>77</v>
      </c>
      <c r="J61" s="6" t="s">
        <v>76</v>
      </c>
      <c r="K61" s="6" t="s">
        <v>411</v>
      </c>
      <c r="L61" s="6" t="s">
        <v>200</v>
      </c>
      <c r="M61" s="10">
        <v>158.9</v>
      </c>
      <c r="N61" s="3"/>
      <c r="O61" s="90" t="s">
        <v>24</v>
      </c>
      <c r="P61"/>
      <c r="Q61" s="87">
        <v>1</v>
      </c>
      <c r="R61" s="96">
        <f t="shared" si="0"/>
        <v>1000</v>
      </c>
      <c r="S61" s="99">
        <v>0.10403614333982436</v>
      </c>
      <c r="T61" s="98">
        <v>10.403614333982437</v>
      </c>
      <c r="U61" t="s">
        <v>10</v>
      </c>
      <c r="V61" t="s">
        <v>10</v>
      </c>
      <c r="W61" t="s">
        <v>10</v>
      </c>
      <c r="X61" t="s">
        <v>376</v>
      </c>
      <c r="Y61"/>
    </row>
    <row r="62" spans="1:25" ht="16" x14ac:dyDescent="0.35">
      <c r="A62" s="1"/>
      <c r="B62" s="136"/>
      <c r="C62" s="42" t="s">
        <v>152</v>
      </c>
      <c r="D62" s="60" t="s">
        <v>9</v>
      </c>
      <c r="E62" s="33" t="s">
        <v>153</v>
      </c>
      <c r="F62" s="56" t="s">
        <v>265</v>
      </c>
      <c r="G62" s="148"/>
      <c r="H62" s="6" t="s">
        <v>302</v>
      </c>
      <c r="I62" s="7" t="s">
        <v>316</v>
      </c>
      <c r="J62" s="6" t="s">
        <v>175</v>
      </c>
      <c r="K62" s="6" t="s">
        <v>10</v>
      </c>
      <c r="L62" s="6" t="s">
        <v>10</v>
      </c>
      <c r="M62" s="10" t="s">
        <v>10</v>
      </c>
      <c r="N62" s="3"/>
      <c r="O62" s="90" t="s">
        <v>33</v>
      </c>
      <c r="P62"/>
      <c r="Q62" s="87">
        <v>0.1</v>
      </c>
      <c r="R62" s="96">
        <f t="shared" si="0"/>
        <v>100</v>
      </c>
      <c r="S62" s="102">
        <v>2.0999999999999999E-3</v>
      </c>
      <c r="T62" s="103">
        <v>2.1</v>
      </c>
      <c r="U62"/>
      <c r="V62"/>
      <c r="W62"/>
      <c r="X62" t="s">
        <v>377</v>
      </c>
      <c r="Y62"/>
    </row>
    <row r="63" spans="1:25" ht="14.5" x14ac:dyDescent="0.35">
      <c r="A63" s="1"/>
      <c r="B63" s="136"/>
      <c r="C63" s="42" t="s">
        <v>36</v>
      </c>
      <c r="D63" s="60" t="s">
        <v>9</v>
      </c>
      <c r="E63" s="33" t="s">
        <v>63</v>
      </c>
      <c r="F63" s="56" t="s">
        <v>261</v>
      </c>
      <c r="G63" s="148"/>
      <c r="H63" s="6" t="s">
        <v>185</v>
      </c>
      <c r="I63" s="7" t="s">
        <v>149</v>
      </c>
      <c r="J63" s="6" t="s">
        <v>79</v>
      </c>
      <c r="K63" s="6" t="s">
        <v>392</v>
      </c>
      <c r="L63" s="6" t="s">
        <v>398</v>
      </c>
      <c r="M63" s="10">
        <v>23.5</v>
      </c>
      <c r="N63" s="3"/>
      <c r="O63" s="116" t="s">
        <v>56</v>
      </c>
      <c r="P63"/>
      <c r="Q63" s="87">
        <v>1</v>
      </c>
      <c r="R63" s="96">
        <f t="shared" si="0"/>
        <v>1000</v>
      </c>
      <c r="S63" s="99">
        <v>0.36516817451490435</v>
      </c>
      <c r="T63" s="98">
        <v>36.809692451490427</v>
      </c>
      <c r="U63" t="s">
        <v>10</v>
      </c>
      <c r="V63" t="s">
        <v>10</v>
      </c>
      <c r="W63" t="s">
        <v>10</v>
      </c>
      <c r="X63" t="s">
        <v>378</v>
      </c>
      <c r="Y63"/>
    </row>
    <row r="64" spans="1:25" ht="16.5" thickBot="1" x14ac:dyDescent="0.4">
      <c r="A64" s="1"/>
      <c r="B64" s="136"/>
      <c r="C64" s="42" t="s">
        <v>29</v>
      </c>
      <c r="D64" s="60" t="s">
        <v>9</v>
      </c>
      <c r="E64" s="33" t="s">
        <v>58</v>
      </c>
      <c r="F64" s="56" t="s">
        <v>255</v>
      </c>
      <c r="G64" s="149"/>
      <c r="H64" s="6" t="s">
        <v>301</v>
      </c>
      <c r="I64" s="7" t="s">
        <v>289</v>
      </c>
      <c r="J64" s="6" t="s">
        <v>68</v>
      </c>
      <c r="K64" s="6" t="s">
        <v>388</v>
      </c>
      <c r="L64" s="6" t="s">
        <v>412</v>
      </c>
      <c r="M64" s="10">
        <v>43.1</v>
      </c>
      <c r="N64" s="3"/>
      <c r="O64" s="90" t="s">
        <v>31</v>
      </c>
      <c r="P64"/>
      <c r="Q64" s="87">
        <v>0.5</v>
      </c>
      <c r="R64" s="96">
        <f t="shared" si="0"/>
        <v>500</v>
      </c>
      <c r="S64" s="99">
        <v>0.19357115205424585</v>
      </c>
      <c r="T64" s="98">
        <v>38.714230410849162</v>
      </c>
      <c r="U64" t="s">
        <v>10</v>
      </c>
      <c r="V64" t="s">
        <v>10</v>
      </c>
      <c r="W64" t="s">
        <v>10</v>
      </c>
      <c r="X64" t="s">
        <v>321</v>
      </c>
      <c r="Y64"/>
    </row>
    <row r="65" spans="1:25" ht="15" thickTop="1" x14ac:dyDescent="0.35">
      <c r="A65" s="1"/>
      <c r="B65" s="136"/>
      <c r="C65" s="75" t="s">
        <v>24</v>
      </c>
      <c r="D65" s="80" t="s">
        <v>285</v>
      </c>
      <c r="E65" s="50" t="s">
        <v>54</v>
      </c>
      <c r="F65" s="58" t="s">
        <v>252</v>
      </c>
      <c r="G65" s="144" t="s">
        <v>293</v>
      </c>
      <c r="H65" s="4" t="s">
        <v>26</v>
      </c>
      <c r="I65" s="5" t="s">
        <v>72</v>
      </c>
      <c r="J65" s="4" t="s">
        <v>68</v>
      </c>
      <c r="K65" s="4" t="s">
        <v>383</v>
      </c>
      <c r="L65" s="4" t="s">
        <v>413</v>
      </c>
      <c r="M65" s="9">
        <v>10.4</v>
      </c>
      <c r="N65" s="16"/>
      <c r="O65" s="117" t="s">
        <v>80</v>
      </c>
      <c r="P65"/>
      <c r="Q65" s="87">
        <v>6.25E-2</v>
      </c>
      <c r="R65" s="96">
        <f t="shared" si="0"/>
        <v>62.5</v>
      </c>
      <c r="S65" s="111">
        <v>8.578836883781972E-2</v>
      </c>
      <c r="T65" s="98">
        <v>137.26139014051157</v>
      </c>
      <c r="U65" t="s">
        <v>10</v>
      </c>
      <c r="V65" t="s">
        <v>10</v>
      </c>
      <c r="W65" t="s">
        <v>10</v>
      </c>
      <c r="X65" t="s">
        <v>335</v>
      </c>
      <c r="Y65"/>
    </row>
    <row r="66" spans="1:25" ht="14.5" x14ac:dyDescent="0.35">
      <c r="A66" s="1"/>
      <c r="B66" s="136"/>
      <c r="C66" s="76" t="s">
        <v>33</v>
      </c>
      <c r="D66" s="81" t="s">
        <v>285</v>
      </c>
      <c r="E66" s="33" t="s">
        <v>62</v>
      </c>
      <c r="F66" s="56" t="s">
        <v>259</v>
      </c>
      <c r="G66" s="145"/>
      <c r="H66" s="6" t="s">
        <v>34</v>
      </c>
      <c r="I66" s="7" t="s">
        <v>148</v>
      </c>
      <c r="J66" s="6" t="s">
        <v>78</v>
      </c>
      <c r="K66" s="132" t="s">
        <v>393</v>
      </c>
      <c r="L66" s="6" t="s">
        <v>408</v>
      </c>
      <c r="M66" s="10">
        <v>2.1</v>
      </c>
      <c r="N66" s="16"/>
      <c r="O66" s="90" t="s">
        <v>142</v>
      </c>
      <c r="P66"/>
      <c r="Q66" s="87">
        <v>0.05</v>
      </c>
      <c r="R66" s="96">
        <f t="shared" si="0"/>
        <v>50</v>
      </c>
      <c r="S66" s="99">
        <v>0.44542767528737914</v>
      </c>
      <c r="T66" s="98">
        <v>890.85535057475806</v>
      </c>
      <c r="U66" t="s">
        <v>10</v>
      </c>
      <c r="V66" t="s">
        <v>10</v>
      </c>
      <c r="W66" t="s">
        <v>10</v>
      </c>
      <c r="X66" t="s">
        <v>379</v>
      </c>
      <c r="Y66"/>
    </row>
    <row r="67" spans="1:25" ht="16" x14ac:dyDescent="0.35">
      <c r="A67" s="1"/>
      <c r="B67" s="136"/>
      <c r="C67" s="76" t="s">
        <v>56</v>
      </c>
      <c r="D67" s="81" t="s">
        <v>285</v>
      </c>
      <c r="E67" s="33" t="s">
        <v>55</v>
      </c>
      <c r="F67" s="56" t="s">
        <v>253</v>
      </c>
      <c r="G67" s="145"/>
      <c r="H67" s="6" t="s">
        <v>300</v>
      </c>
      <c r="I67" s="7" t="s">
        <v>72</v>
      </c>
      <c r="J67" s="6" t="s">
        <v>68</v>
      </c>
      <c r="K67" s="6" t="s">
        <v>383</v>
      </c>
      <c r="L67" s="6" t="s">
        <v>414</v>
      </c>
      <c r="M67" s="10">
        <v>36.799999999999997</v>
      </c>
      <c r="N67" s="16"/>
      <c r="O67" s="90" t="s">
        <v>30</v>
      </c>
      <c r="P67"/>
      <c r="Q67" s="87">
        <v>0.1</v>
      </c>
      <c r="R67" s="96">
        <f t="shared" si="0"/>
        <v>100</v>
      </c>
      <c r="S67" s="86">
        <v>0.17895216723756802</v>
      </c>
      <c r="T67" s="118">
        <v>178.95216723756798</v>
      </c>
      <c r="U67" t="s">
        <v>10</v>
      </c>
      <c r="V67" t="s">
        <v>10</v>
      </c>
      <c r="W67" t="s">
        <v>10</v>
      </c>
      <c r="X67" t="s">
        <v>380</v>
      </c>
      <c r="Y67"/>
    </row>
    <row r="68" spans="1:25" ht="15" thickBot="1" x14ac:dyDescent="0.4">
      <c r="A68" s="1"/>
      <c r="B68" s="136"/>
      <c r="C68" s="76" t="s">
        <v>31</v>
      </c>
      <c r="D68" s="81" t="s">
        <v>285</v>
      </c>
      <c r="E68" s="33" t="s">
        <v>60</v>
      </c>
      <c r="F68" s="56" t="s">
        <v>257</v>
      </c>
      <c r="G68" s="145"/>
      <c r="H68" s="6" t="s">
        <v>183</v>
      </c>
      <c r="I68" s="7" t="s">
        <v>148</v>
      </c>
      <c r="J68" s="6" t="s">
        <v>76</v>
      </c>
      <c r="K68" s="6" t="s">
        <v>384</v>
      </c>
      <c r="L68" s="6" t="s">
        <v>415</v>
      </c>
      <c r="M68" s="10">
        <v>38.700000000000003</v>
      </c>
      <c r="N68" s="16"/>
      <c r="O68" s="90" t="s">
        <v>27</v>
      </c>
      <c r="P68"/>
      <c r="Q68" s="87">
        <v>1</v>
      </c>
      <c r="R68" s="119">
        <f t="shared" si="0"/>
        <v>1000</v>
      </c>
      <c r="S68" s="120">
        <v>8.7739191574899997E-2</v>
      </c>
      <c r="T68" s="121">
        <v>8.7739191574900008</v>
      </c>
      <c r="U68" t="s">
        <v>10</v>
      </c>
      <c r="V68" t="s">
        <v>10</v>
      </c>
      <c r="W68" t="s">
        <v>10</v>
      </c>
      <c r="X68" t="s">
        <v>331</v>
      </c>
      <c r="Y68"/>
    </row>
    <row r="69" spans="1:25" ht="14.5" x14ac:dyDescent="0.35">
      <c r="A69" s="1"/>
      <c r="B69" s="136"/>
      <c r="C69" s="76" t="s">
        <v>80</v>
      </c>
      <c r="D69" s="81" t="s">
        <v>285</v>
      </c>
      <c r="E69" s="33" t="s">
        <v>82</v>
      </c>
      <c r="F69" s="56" t="s">
        <v>262</v>
      </c>
      <c r="G69" s="145"/>
      <c r="H69" s="6" t="s">
        <v>191</v>
      </c>
      <c r="I69" s="7" t="s">
        <v>147</v>
      </c>
      <c r="J69" s="6" t="s">
        <v>68</v>
      </c>
      <c r="K69" s="6" t="s">
        <v>388</v>
      </c>
      <c r="L69" s="6" t="s">
        <v>416</v>
      </c>
      <c r="M69" s="10">
        <v>137.30000000000001</v>
      </c>
      <c r="N69" s="16"/>
      <c r="O69"/>
      <c r="P69"/>
      <c r="Q69" s="87"/>
      <c r="R69" s="88"/>
      <c r="S69"/>
      <c r="T69" s="89"/>
      <c r="U69"/>
      <c r="V69"/>
      <c r="W69"/>
      <c r="X69"/>
      <c r="Y69"/>
    </row>
    <row r="70" spans="1:25" ht="14.5" x14ac:dyDescent="0.35">
      <c r="A70" s="1"/>
      <c r="B70" s="136"/>
      <c r="C70" s="76" t="s">
        <v>142</v>
      </c>
      <c r="D70" s="81" t="s">
        <v>285</v>
      </c>
      <c r="E70" s="33" t="s">
        <v>84</v>
      </c>
      <c r="F70" s="56" t="s">
        <v>264</v>
      </c>
      <c r="G70" s="145"/>
      <c r="H70" s="6" t="s">
        <v>284</v>
      </c>
      <c r="I70" s="7" t="s">
        <v>67</v>
      </c>
      <c r="J70" s="6" t="s">
        <v>68</v>
      </c>
      <c r="K70" s="6" t="s">
        <v>402</v>
      </c>
      <c r="L70" s="6" t="s">
        <v>417</v>
      </c>
      <c r="M70" s="10">
        <v>890.9</v>
      </c>
      <c r="N70" s="16"/>
      <c r="O70" s="125"/>
      <c r="P70"/>
      <c r="Q70" s="87"/>
      <c r="R70" s="88"/>
      <c r="S70"/>
      <c r="T70" s="89"/>
      <c r="U70"/>
      <c r="V70"/>
      <c r="W70"/>
      <c r="X70"/>
      <c r="Y70"/>
    </row>
    <row r="71" spans="1:25" ht="16" x14ac:dyDescent="0.35">
      <c r="A71" s="1"/>
      <c r="B71" s="136"/>
      <c r="C71" s="76" t="s">
        <v>30</v>
      </c>
      <c r="D71" s="81" t="s">
        <v>285</v>
      </c>
      <c r="E71" s="33" t="s">
        <v>59</v>
      </c>
      <c r="F71" s="56" t="s">
        <v>256</v>
      </c>
      <c r="G71" s="145"/>
      <c r="H71" s="6" t="s">
        <v>303</v>
      </c>
      <c r="I71" s="7" t="s">
        <v>67</v>
      </c>
      <c r="J71" s="6" t="s">
        <v>68</v>
      </c>
      <c r="K71" s="6" t="s">
        <v>393</v>
      </c>
      <c r="L71" s="6" t="s">
        <v>418</v>
      </c>
      <c r="M71" s="10">
        <v>179</v>
      </c>
      <c r="N71" s="16"/>
      <c r="O71" s="125"/>
      <c r="P71"/>
      <c r="Q71" s="87"/>
      <c r="R71" s="88"/>
      <c r="S71"/>
      <c r="T71" s="89"/>
      <c r="U71"/>
      <c r="V71"/>
      <c r="W71"/>
      <c r="X71"/>
      <c r="Y71"/>
    </row>
    <row r="72" spans="1:25" ht="15" thickBot="1" x14ac:dyDescent="0.4">
      <c r="A72" s="1"/>
      <c r="B72" s="136"/>
      <c r="C72" s="79" t="s">
        <v>27</v>
      </c>
      <c r="D72" s="82" t="s">
        <v>285</v>
      </c>
      <c r="E72" s="34" t="s">
        <v>57</v>
      </c>
      <c r="F72" s="62" t="s">
        <v>254</v>
      </c>
      <c r="G72" s="146"/>
      <c r="H72" s="11" t="s">
        <v>28</v>
      </c>
      <c r="I72" s="8" t="s">
        <v>72</v>
      </c>
      <c r="J72" s="11" t="s">
        <v>68</v>
      </c>
      <c r="K72" s="11" t="s">
        <v>383</v>
      </c>
      <c r="L72" s="11" t="s">
        <v>419</v>
      </c>
      <c r="M72" s="12">
        <v>8.8000000000000007</v>
      </c>
      <c r="N72" s="16"/>
      <c r="O72" s="125"/>
      <c r="P72"/>
      <c r="Q72" s="87"/>
      <c r="R72" s="88"/>
      <c r="S72"/>
      <c r="T72" s="89"/>
      <c r="U72"/>
      <c r="V72"/>
      <c r="W72"/>
      <c r="X72"/>
      <c r="Y72"/>
    </row>
    <row r="73" spans="1:25" ht="15" thickTop="1" x14ac:dyDescent="0.35">
      <c r="A73" s="1"/>
      <c r="B73" s="136"/>
      <c r="C73" s="49"/>
      <c r="D73" s="49"/>
      <c r="E73" s="49"/>
      <c r="F73" s="49"/>
      <c r="G73" s="49"/>
      <c r="H73" s="49"/>
      <c r="I73" s="49"/>
      <c r="J73" s="48"/>
      <c r="K73" s="48"/>
      <c r="L73" s="48"/>
      <c r="M73" s="48"/>
      <c r="N73" s="16"/>
      <c r="O73" s="125"/>
      <c r="P73"/>
      <c r="Q73" s="87"/>
      <c r="R73" s="88"/>
      <c r="S73"/>
      <c r="T73" s="89"/>
      <c r="U73"/>
      <c r="V73"/>
      <c r="W73"/>
      <c r="X73"/>
      <c r="Y73"/>
    </row>
    <row r="74" spans="1:25" ht="14.5" x14ac:dyDescent="0.35">
      <c r="A74" s="1"/>
      <c r="B74" s="136"/>
      <c r="C74" s="49" t="s">
        <v>267</v>
      </c>
      <c r="D74" s="140" t="s">
        <v>218</v>
      </c>
      <c r="E74" s="140"/>
      <c r="F74" s="140"/>
      <c r="G74" s="140"/>
      <c r="H74" s="140"/>
      <c r="I74" s="140"/>
      <c r="J74" s="140"/>
      <c r="K74" s="140"/>
      <c r="L74" s="140"/>
      <c r="M74" s="140"/>
      <c r="N74" s="16"/>
      <c r="O74" s="125"/>
      <c r="P74"/>
      <c r="Q74" s="87"/>
      <c r="R74" s="88"/>
      <c r="S74"/>
      <c r="T74" s="89"/>
      <c r="U74"/>
      <c r="V74"/>
      <c r="W74"/>
      <c r="X74"/>
      <c r="Y74"/>
    </row>
    <row r="75" spans="1:25" ht="14.5" x14ac:dyDescent="0.35">
      <c r="A75" s="1"/>
      <c r="B75" s="136"/>
      <c r="C75" s="49" t="s">
        <v>268</v>
      </c>
      <c r="D75" s="140" t="s">
        <v>225</v>
      </c>
      <c r="E75" s="140"/>
      <c r="F75" s="140"/>
      <c r="G75" s="140"/>
      <c r="H75" s="140"/>
      <c r="I75" s="140"/>
      <c r="J75" s="140"/>
      <c r="K75" s="140"/>
      <c r="L75" s="140"/>
      <c r="M75" s="140"/>
      <c r="N75" s="16"/>
      <c r="O75" s="125"/>
      <c r="P75"/>
      <c r="Q75" s="87"/>
      <c r="R75" s="88"/>
      <c r="S75"/>
      <c r="T75" s="89"/>
      <c r="U75"/>
      <c r="V75"/>
      <c r="W75"/>
      <c r="X75"/>
      <c r="Y75"/>
    </row>
    <row r="76" spans="1:25" ht="14.5" x14ac:dyDescent="0.35">
      <c r="A76" s="1"/>
      <c r="B76" s="136"/>
      <c r="C76" s="49" t="s">
        <v>275</v>
      </c>
      <c r="D76" s="140" t="s">
        <v>283</v>
      </c>
      <c r="E76" s="140"/>
      <c r="F76" s="140"/>
      <c r="G76" s="140"/>
      <c r="H76" s="140"/>
      <c r="I76" s="140"/>
      <c r="J76" s="140"/>
      <c r="K76" s="140"/>
      <c r="L76" s="140"/>
      <c r="M76" s="140"/>
      <c r="N76" s="16"/>
      <c r="O76" s="125"/>
      <c r="P76"/>
      <c r="Q76" s="87"/>
      <c r="R76" s="88"/>
      <c r="S76"/>
      <c r="T76" s="89"/>
      <c r="U76"/>
      <c r="V76"/>
      <c r="W76"/>
      <c r="X76"/>
      <c r="Y76"/>
    </row>
    <row r="77" spans="1:25" ht="14.5" x14ac:dyDescent="0.35">
      <c r="A77" s="1"/>
      <c r="B77" s="136"/>
      <c r="C77" s="49" t="s">
        <v>280</v>
      </c>
      <c r="D77" s="140" t="s">
        <v>272</v>
      </c>
      <c r="E77" s="140"/>
      <c r="F77" s="140"/>
      <c r="G77" s="140"/>
      <c r="H77" s="140"/>
      <c r="I77" s="140"/>
      <c r="J77" s="140"/>
      <c r="K77" s="140"/>
      <c r="L77" s="140"/>
      <c r="M77" s="140"/>
      <c r="N77" s="16"/>
      <c r="O77" s="125"/>
      <c r="P77"/>
      <c r="Q77" s="87"/>
      <c r="R77" s="88"/>
      <c r="S77"/>
      <c r="T77" s="89"/>
      <c r="U77"/>
      <c r="V77"/>
      <c r="W77"/>
      <c r="X77"/>
      <c r="Y77"/>
    </row>
    <row r="78" spans="1:25" ht="14.5" x14ac:dyDescent="0.35">
      <c r="A78" s="1"/>
      <c r="B78" s="136"/>
      <c r="C78" s="49"/>
      <c r="D78" s="159" t="s">
        <v>273</v>
      </c>
      <c r="E78" s="159"/>
      <c r="F78" s="159"/>
      <c r="G78" s="159"/>
      <c r="H78" s="159"/>
      <c r="I78" s="159"/>
      <c r="J78" s="159"/>
      <c r="K78" s="159"/>
      <c r="L78" s="159"/>
      <c r="M78" s="159"/>
      <c r="N78" s="16"/>
      <c r="O78" s="125"/>
      <c r="P78"/>
      <c r="Q78" s="87"/>
      <c r="R78" s="88"/>
      <c r="S78"/>
      <c r="T78" s="89"/>
      <c r="U78"/>
      <c r="V78"/>
      <c r="W78"/>
      <c r="X78"/>
      <c r="Y78"/>
    </row>
    <row r="79" spans="1:25" ht="14.5" x14ac:dyDescent="0.35">
      <c r="A79" s="1"/>
      <c r="B79" s="136"/>
      <c r="C79" s="49" t="s">
        <v>281</v>
      </c>
      <c r="D79" s="140" t="s">
        <v>244</v>
      </c>
      <c r="E79" s="140"/>
      <c r="F79" s="140"/>
      <c r="G79" s="140"/>
      <c r="H79" s="140"/>
      <c r="I79" s="140"/>
      <c r="J79" s="140"/>
      <c r="K79" s="140"/>
      <c r="L79" s="140"/>
      <c r="M79" s="140"/>
      <c r="N79" s="16"/>
      <c r="O79" s="125"/>
      <c r="P79"/>
      <c r="Q79" s="87"/>
      <c r="R79" s="88"/>
      <c r="S79"/>
      <c r="T79" s="89"/>
      <c r="U79"/>
      <c r="V79"/>
      <c r="W79"/>
      <c r="X79"/>
      <c r="Y79"/>
    </row>
    <row r="80" spans="1:25" ht="14.5" x14ac:dyDescent="0.35">
      <c r="A80" s="1"/>
      <c r="B80" s="136"/>
      <c r="C80" s="49" t="s">
        <v>286</v>
      </c>
      <c r="D80" s="140" t="s">
        <v>269</v>
      </c>
      <c r="E80" s="140"/>
      <c r="F80" s="140"/>
      <c r="G80" s="140"/>
      <c r="H80" s="140"/>
      <c r="I80" s="140"/>
      <c r="J80" s="140"/>
      <c r="K80" s="140"/>
      <c r="L80" s="140"/>
      <c r="M80" s="140"/>
      <c r="N80" s="16"/>
      <c r="O80" s="125"/>
      <c r="P80"/>
      <c r="Q80" s="87"/>
      <c r="R80" s="88"/>
      <c r="S80"/>
      <c r="T80" s="89"/>
      <c r="U80"/>
      <c r="V80"/>
      <c r="W80"/>
      <c r="X80"/>
      <c r="Y80"/>
    </row>
    <row r="81" spans="1:25" ht="14.5" x14ac:dyDescent="0.35">
      <c r="A81" s="1"/>
      <c r="B81" s="136"/>
      <c r="C81" s="49" t="s">
        <v>282</v>
      </c>
      <c r="D81" s="140" t="s">
        <v>270</v>
      </c>
      <c r="E81" s="140"/>
      <c r="F81" s="140"/>
      <c r="G81" s="140"/>
      <c r="H81" s="140"/>
      <c r="I81" s="140"/>
      <c r="J81" s="140"/>
      <c r="K81" s="140"/>
      <c r="L81" s="140"/>
      <c r="M81" s="140"/>
      <c r="N81" s="16"/>
      <c r="O81" s="125"/>
      <c r="P81"/>
      <c r="Q81" s="87"/>
      <c r="R81" s="88"/>
      <c r="S81"/>
      <c r="T81" s="89"/>
      <c r="U81"/>
      <c r="V81"/>
      <c r="W81"/>
      <c r="X81"/>
      <c r="Y81"/>
    </row>
    <row r="82" spans="1:25" ht="18.75" customHeight="1" x14ac:dyDescent="0.35">
      <c r="A82" s="1"/>
      <c r="B82" s="136"/>
      <c r="C82" s="158" t="s">
        <v>445</v>
      </c>
      <c r="D82" s="158"/>
      <c r="E82" s="158"/>
      <c r="F82" s="158"/>
      <c r="G82" s="158"/>
      <c r="H82" s="7"/>
      <c r="I82" s="7"/>
      <c r="J82" s="16"/>
      <c r="K82" s="16"/>
      <c r="L82" s="16"/>
      <c r="M82" s="16"/>
      <c r="N82" s="16"/>
      <c r="O82" s="125"/>
      <c r="P82"/>
      <c r="Q82" s="87"/>
      <c r="R82" s="88"/>
      <c r="S82"/>
      <c r="T82" s="89"/>
      <c r="U82"/>
      <c r="V82"/>
      <c r="W82"/>
      <c r="X82"/>
      <c r="Y82"/>
    </row>
    <row r="83" spans="1:25" ht="14.5" x14ac:dyDescent="0.35">
      <c r="A83" s="1"/>
      <c r="B83" s="136"/>
      <c r="C83" s="140" t="s">
        <v>298</v>
      </c>
      <c r="D83" s="140"/>
      <c r="E83" s="140"/>
      <c r="F83" s="140"/>
      <c r="G83" s="140"/>
      <c r="H83" s="140"/>
      <c r="I83" s="140"/>
      <c r="J83" s="16"/>
      <c r="K83" s="16"/>
      <c r="L83" s="16"/>
      <c r="M83" s="16"/>
      <c r="N83" s="16"/>
      <c r="O83" s="125"/>
      <c r="P83"/>
      <c r="Q83" s="87"/>
      <c r="R83" s="88"/>
      <c r="S83"/>
      <c r="T83" s="89"/>
      <c r="U83"/>
      <c r="V83"/>
      <c r="W83"/>
      <c r="X83"/>
      <c r="Y83"/>
    </row>
    <row r="84" spans="1:25" ht="14.5" x14ac:dyDescent="0.35">
      <c r="A84" s="1"/>
      <c r="B84" s="136"/>
      <c r="C84" s="140" t="s">
        <v>294</v>
      </c>
      <c r="D84" s="140"/>
      <c r="E84" s="140"/>
      <c r="F84" s="140"/>
      <c r="G84" s="140"/>
      <c r="H84" s="140"/>
      <c r="I84" s="140"/>
      <c r="J84" s="136"/>
      <c r="K84" s="136"/>
      <c r="L84" s="136"/>
      <c r="M84" s="136"/>
      <c r="N84" s="136"/>
      <c r="O84" s="126"/>
      <c r="P84"/>
      <c r="Q84" s="87"/>
      <c r="R84" s="88"/>
      <c r="S84"/>
      <c r="T84" s="89"/>
      <c r="U84"/>
      <c r="V84"/>
      <c r="W84"/>
      <c r="X84"/>
      <c r="Y84"/>
    </row>
    <row r="85" spans="1:25" ht="14.5" x14ac:dyDescent="0.35">
      <c r="A85" s="1"/>
      <c r="B85" s="136"/>
      <c r="C85" s="140" t="s">
        <v>295</v>
      </c>
      <c r="D85" s="140"/>
      <c r="E85" s="140"/>
      <c r="F85" s="140"/>
      <c r="G85" s="140"/>
      <c r="H85" s="140"/>
      <c r="I85" s="140"/>
      <c r="J85" s="136"/>
      <c r="K85" s="136"/>
      <c r="L85" s="136"/>
      <c r="M85" s="136"/>
      <c r="N85" s="136"/>
      <c r="O85" s="126"/>
      <c r="P85"/>
      <c r="Q85" s="87"/>
      <c r="R85" s="88"/>
      <c r="S85"/>
      <c r="T85" s="89"/>
      <c r="U85"/>
      <c r="V85"/>
      <c r="W85"/>
      <c r="X85"/>
      <c r="Y85"/>
    </row>
    <row r="86" spans="1:25" ht="14.5" x14ac:dyDescent="0.35">
      <c r="A86" s="1"/>
      <c r="B86" s="136"/>
      <c r="C86" s="49" t="s">
        <v>299</v>
      </c>
      <c r="D86" s="49"/>
      <c r="E86" s="49"/>
      <c r="F86" s="49"/>
      <c r="G86" s="49"/>
      <c r="H86" s="49"/>
      <c r="I86" s="83"/>
      <c r="J86" s="136"/>
      <c r="K86" s="136"/>
      <c r="L86" s="136"/>
      <c r="M86" s="136"/>
      <c r="N86" s="136"/>
      <c r="O86" s="126"/>
      <c r="P86"/>
      <c r="Q86" s="87"/>
      <c r="R86" s="88"/>
      <c r="S86"/>
      <c r="T86" s="89"/>
      <c r="U86"/>
      <c r="V86"/>
      <c r="W86"/>
      <c r="X86"/>
      <c r="Y86"/>
    </row>
    <row r="87" spans="1:25" ht="14.5" x14ac:dyDescent="0.35">
      <c r="A87" s="1"/>
      <c r="B87" s="136"/>
      <c r="C87" s="140" t="s">
        <v>296</v>
      </c>
      <c r="D87" s="140"/>
      <c r="E87" s="140"/>
      <c r="F87" s="140"/>
      <c r="G87" s="140"/>
      <c r="H87" s="140"/>
      <c r="I87" s="140"/>
      <c r="J87" s="136"/>
      <c r="K87" s="136"/>
      <c r="L87" s="136"/>
      <c r="M87" s="136"/>
      <c r="N87" s="136"/>
      <c r="O87" s="126"/>
      <c r="P87"/>
      <c r="Q87" s="87"/>
      <c r="R87" s="88"/>
      <c r="S87"/>
      <c r="T87" s="89"/>
      <c r="U87"/>
      <c r="V87"/>
      <c r="W87"/>
      <c r="X87"/>
      <c r="Y87"/>
    </row>
    <row r="88" spans="1:25" ht="14.5" x14ac:dyDescent="0.35">
      <c r="A88" s="1"/>
      <c r="B88" s="136"/>
      <c r="C88" s="140" t="s">
        <v>297</v>
      </c>
      <c r="D88" s="140"/>
      <c r="E88" s="140"/>
      <c r="F88" s="140"/>
      <c r="G88" s="140"/>
      <c r="H88" s="140"/>
      <c r="I88" s="140"/>
      <c r="J88" s="136"/>
      <c r="K88" s="136"/>
      <c r="L88" s="136"/>
      <c r="M88" s="136"/>
      <c r="N88" s="136"/>
      <c r="O88" s="125"/>
      <c r="P88"/>
      <c r="Q88" s="87"/>
      <c r="R88" s="88"/>
      <c r="S88"/>
      <c r="T88" s="89"/>
      <c r="U88"/>
      <c r="V88"/>
      <c r="W88"/>
      <c r="X88"/>
      <c r="Y88"/>
    </row>
    <row r="89" spans="1:25" ht="14.5" x14ac:dyDescent="0.35">
      <c r="A89" s="1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26"/>
      <c r="P89"/>
      <c r="Q89" s="87"/>
      <c r="R89" s="88"/>
      <c r="S89"/>
      <c r="T89" s="89"/>
      <c r="U89"/>
      <c r="V89"/>
      <c r="W89"/>
      <c r="X89"/>
      <c r="Y89"/>
    </row>
    <row r="90" spans="1:25" ht="14.5" x14ac:dyDescent="0.35">
      <c r="A90" s="1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25"/>
      <c r="P90"/>
      <c r="Q90" s="87"/>
      <c r="R90" s="88"/>
      <c r="S90"/>
      <c r="T90" s="89"/>
      <c r="U90"/>
      <c r="V90"/>
      <c r="W90"/>
      <c r="X90"/>
      <c r="Y90"/>
    </row>
    <row r="91" spans="1:25" ht="14.5" x14ac:dyDescent="0.35">
      <c r="A91" s="1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25"/>
      <c r="P91"/>
      <c r="Q91" s="87"/>
      <c r="R91" s="88"/>
      <c r="S91"/>
      <c r="T91" s="89"/>
      <c r="U91"/>
      <c r="V91"/>
      <c r="W91"/>
      <c r="X91"/>
      <c r="Y91"/>
    </row>
    <row r="92" spans="1:25" ht="14.5" x14ac:dyDescent="0.35">
      <c r="A92" s="1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25"/>
      <c r="P92"/>
      <c r="Q92" s="87"/>
      <c r="R92" s="88"/>
      <c r="S92"/>
      <c r="T92" s="89"/>
      <c r="U92"/>
      <c r="V92"/>
      <c r="W92"/>
      <c r="X92"/>
      <c r="Y92"/>
    </row>
    <row r="93" spans="1:25" ht="14.5" x14ac:dyDescent="0.35">
      <c r="A93" s="1"/>
      <c r="B93" s="1"/>
      <c r="C93" s="1"/>
      <c r="D93" s="1"/>
      <c r="F93" s="1"/>
      <c r="O93"/>
      <c r="P93"/>
      <c r="Q93" s="87"/>
      <c r="R93" s="88"/>
      <c r="S93"/>
      <c r="T93" s="89"/>
      <c r="U93"/>
      <c r="V93"/>
      <c r="W93"/>
      <c r="X93"/>
      <c r="Y93"/>
    </row>
    <row r="94" spans="1:25" ht="14.5" x14ac:dyDescent="0.35">
      <c r="A94" s="1"/>
      <c r="B94" s="1"/>
      <c r="C94" s="1"/>
      <c r="D94" s="1"/>
      <c r="F94" s="1"/>
    </row>
    <row r="95" spans="1:25" ht="14.5" x14ac:dyDescent="0.35">
      <c r="A95" s="1"/>
      <c r="B95" s="1"/>
      <c r="C95" s="1"/>
      <c r="D95" s="1"/>
      <c r="F95" s="1"/>
    </row>
    <row r="96" spans="1:25" ht="14.5" x14ac:dyDescent="0.35">
      <c r="A96" s="1"/>
      <c r="B96" s="1"/>
      <c r="C96" s="1"/>
      <c r="D96" s="1"/>
      <c r="F96" s="1"/>
    </row>
    <row r="97" s="1" customFormat="1" ht="14.5" x14ac:dyDescent="0.35"/>
    <row r="98" s="1" customFormat="1" ht="14.5" x14ac:dyDescent="0.35"/>
    <row r="99" s="1" customFormat="1" ht="14.5" x14ac:dyDescent="0.35"/>
    <row r="100" s="1" customFormat="1" ht="14.5" x14ac:dyDescent="0.35"/>
    <row r="101" s="1" customFormat="1" ht="14.5" x14ac:dyDescent="0.35"/>
    <row r="102" s="1" customFormat="1" ht="14.5" x14ac:dyDescent="0.35"/>
    <row r="103" s="1" customFormat="1" ht="14.5" x14ac:dyDescent="0.35"/>
    <row r="104" s="1" customFormat="1" ht="14.5" x14ac:dyDescent="0.35"/>
    <row r="105" s="1" customFormat="1" ht="14.5" x14ac:dyDescent="0.35"/>
    <row r="106" s="1" customFormat="1" ht="14.5" x14ac:dyDescent="0.35"/>
  </sheetData>
  <mergeCells count="45">
    <mergeCell ref="R18:T18"/>
    <mergeCell ref="R17:T17"/>
    <mergeCell ref="R15:T15"/>
    <mergeCell ref="R12:T12"/>
    <mergeCell ref="R9:T9"/>
    <mergeCell ref="R58:T58"/>
    <mergeCell ref="R52:T52"/>
    <mergeCell ref="R50:T50"/>
    <mergeCell ref="R28:T28"/>
    <mergeCell ref="R27:T27"/>
    <mergeCell ref="C85:I85"/>
    <mergeCell ref="C87:I87"/>
    <mergeCell ref="C88:I88"/>
    <mergeCell ref="D80:M80"/>
    <mergeCell ref="D81:M81"/>
    <mergeCell ref="C83:I83"/>
    <mergeCell ref="C84:I84"/>
    <mergeCell ref="D78:M78"/>
    <mergeCell ref="D79:M79"/>
    <mergeCell ref="D74:M74"/>
    <mergeCell ref="D75:M75"/>
    <mergeCell ref="D76:M76"/>
    <mergeCell ref="D77:M77"/>
    <mergeCell ref="C82:G82"/>
    <mergeCell ref="G65:G72"/>
    <mergeCell ref="G58:G60"/>
    <mergeCell ref="G61:G64"/>
    <mergeCell ref="G50:G52"/>
    <mergeCell ref="G53:G57"/>
    <mergeCell ref="G44:G48"/>
    <mergeCell ref="G20:G22"/>
    <mergeCell ref="G23:G28"/>
    <mergeCell ref="G29:G34"/>
    <mergeCell ref="G35:G40"/>
    <mergeCell ref="G41:G42"/>
    <mergeCell ref="G8:G13"/>
    <mergeCell ref="G15:G19"/>
    <mergeCell ref="G5:G7"/>
    <mergeCell ref="H5:H7"/>
    <mergeCell ref="I5:J6"/>
    <mergeCell ref="K5:M6"/>
    <mergeCell ref="C5:C7"/>
    <mergeCell ref="D5:D7"/>
    <mergeCell ref="E5:E7"/>
    <mergeCell ref="F5:F7"/>
  </mergeCells>
  <dataValidations count="1">
    <dataValidation type="list" showInputMessage="1" showErrorMessage="1" sqref="U3:U68 V2:W68" xr:uid="{00000000-0002-0000-0100-000000000000}">
      <formula1>$P$1:$P$3</formula1>
    </dataValidation>
  </dataValidations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TABLE 25 NOV 2019</vt:lpstr>
    </vt:vector>
  </TitlesOfParts>
  <Company>University of Exeter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Winter, Matthew</dc:creator>
  <cp:lastModifiedBy>Winter, Matthew</cp:lastModifiedBy>
  <cp:lastPrinted>2018-10-15T12:57:10Z</cp:lastPrinted>
  <dcterms:created xsi:type="dcterms:W3CDTF">2018-01-11T13:58:16Z</dcterms:created>
  <dcterms:modified xsi:type="dcterms:W3CDTF">2025-12-07T16:20:46Z</dcterms:modified>
</cp:coreProperties>
</file>